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rreyra\Desktop\FACULTAD\4to año\4.MAQ. TERMICAS\TheGreatFishMaqTer\"/>
    </mc:Choice>
  </mc:AlternateContent>
  <bookViews>
    <workbookView xWindow="0" yWindow="0" windowWidth="20460" windowHeight="7080" tabRatio="597"/>
  </bookViews>
  <sheets>
    <sheet name="PAGINA PRINCIPAL" sheetId="4" r:id="rId1"/>
    <sheet name="CASO 1" sheetId="3" r:id="rId2"/>
    <sheet name="CASO 2" sheetId="5" r:id="rId3"/>
  </sheets>
  <externalReferences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3" l="1"/>
  <c r="M15" i="3"/>
  <c r="G15" i="3"/>
  <c r="G38" i="5" l="1"/>
  <c r="G27" i="5"/>
  <c r="M18" i="5"/>
  <c r="G17" i="5"/>
  <c r="J33" i="5" l="1"/>
  <c r="D33" i="5"/>
  <c r="G23" i="5"/>
  <c r="G34" i="5" l="1"/>
  <c r="S11" i="3"/>
  <c r="G20" i="3"/>
  <c r="J14" i="3" l="1"/>
  <c r="M12" i="3" s="1"/>
  <c r="S13" i="3"/>
  <c r="J14" i="5" l="1"/>
  <c r="J15" i="5" s="1"/>
  <c r="G47" i="5" s="1"/>
  <c r="D23" i="3"/>
  <c r="D24" i="3"/>
  <c r="S16" i="3" s="1"/>
  <c r="S19" i="3"/>
  <c r="S20" i="3"/>
  <c r="J12" i="3"/>
  <c r="J13" i="3" s="1"/>
  <c r="D14" i="3"/>
  <c r="G12" i="3" s="1"/>
  <c r="P14" i="3"/>
  <c r="S12" i="3" s="1"/>
  <c r="D21" i="3"/>
  <c r="D22" i="3" s="1"/>
  <c r="G21" i="3" s="1"/>
  <c r="G26" i="5"/>
  <c r="D12" i="3"/>
  <c r="D13" i="3" s="1"/>
  <c r="G13" i="3"/>
  <c r="G14" i="3" s="1"/>
  <c r="M13" i="3"/>
  <c r="M14" i="3" s="1"/>
  <c r="P12" i="3"/>
  <c r="P13" i="3" s="1"/>
  <c r="S14" i="3"/>
  <c r="P22" i="5" l="1"/>
  <c r="D24" i="5"/>
  <c r="D25" i="5" s="1"/>
  <c r="J16" i="5"/>
  <c r="P14" i="5" s="1"/>
  <c r="G15" i="5"/>
  <c r="G16" i="5" s="1"/>
  <c r="G46" i="5" s="1"/>
  <c r="D14" i="5"/>
  <c r="D15" i="5" s="1"/>
  <c r="G45" i="5" s="1"/>
  <c r="G37" i="5"/>
  <c r="D26" i="5"/>
  <c r="P23" i="5"/>
  <c r="P18" i="5"/>
  <c r="D27" i="5" s="1"/>
  <c r="M16" i="5"/>
  <c r="M17" i="5" s="1"/>
  <c r="G43" i="5" s="1"/>
  <c r="P15" i="5"/>
  <c r="P16" i="5"/>
  <c r="S15" i="3"/>
  <c r="S22" i="3" s="1"/>
  <c r="S23" i="3" s="1"/>
  <c r="A40" i="3" s="1"/>
  <c r="K37" i="3"/>
  <c r="N29" i="3" s="1"/>
  <c r="A29" i="3"/>
  <c r="J45" i="5"/>
  <c r="M44" i="5" s="1"/>
  <c r="D16" i="5" l="1"/>
  <c r="P17" i="5"/>
  <c r="P25" i="5" s="1"/>
  <c r="P26" i="5" s="1"/>
  <c r="G48" i="5" s="1"/>
  <c r="J46" i="5" s="1"/>
  <c r="J48" i="5"/>
  <c r="G40" i="5"/>
  <c r="G24" i="5"/>
  <c r="J44" i="5"/>
  <c r="M43" i="5" s="1"/>
  <c r="J47" i="5"/>
  <c r="S42" i="5" s="1"/>
  <c r="M48" i="5"/>
  <c r="D37" i="5" l="1"/>
  <c r="D38" i="5"/>
  <c r="D35" i="5"/>
  <c r="D36" i="5" s="1"/>
  <c r="P42" i="5"/>
  <c r="M45" i="5"/>
  <c r="G25" i="5"/>
  <c r="G42" i="5"/>
  <c r="M47" i="5" s="1"/>
  <c r="G14" i="5"/>
  <c r="M15" i="5"/>
  <c r="G44" i="5" l="1"/>
  <c r="J43" i="5" s="1"/>
  <c r="G35" i="5"/>
  <c r="G36" i="5" l="1"/>
  <c r="G49" i="5"/>
  <c r="M46" i="5" s="1"/>
  <c r="J34" i="5" l="1"/>
  <c r="J35" i="5" s="1"/>
  <c r="G41" i="5" s="1"/>
  <c r="J42" i="5" s="1"/>
  <c r="M42" i="5" l="1"/>
  <c r="L50" i="5" s="1"/>
  <c r="M49" i="5"/>
  <c r="L51" i="5" s="1"/>
  <c r="S46" i="5" l="1"/>
  <c r="P44" i="5"/>
  <c r="S43" i="5"/>
  <c r="S44" i="5"/>
  <c r="P43" i="5"/>
  <c r="S47" i="5"/>
  <c r="P47" i="5"/>
  <c r="P45" i="5" l="1"/>
  <c r="S48" i="5"/>
  <c r="S45" i="5" l="1"/>
  <c r="G79" i="5" s="1"/>
  <c r="A81" i="5" s="1"/>
  <c r="S59" i="5"/>
  <c r="H59" i="5"/>
  <c r="H55" i="5" s="1"/>
  <c r="P46" i="5"/>
  <c r="G80" i="5" s="1"/>
  <c r="N63" i="5" s="1"/>
  <c r="H58" i="5" l="1"/>
  <c r="N57" i="5" s="1"/>
  <c r="N56" i="5"/>
  <c r="N3" i="5"/>
  <c r="A63" i="5"/>
  <c r="S55" i="5"/>
  <c r="S58" i="5"/>
  <c r="Y57" i="5" l="1"/>
  <c r="A67" i="5"/>
  <c r="Y56" i="5"/>
  <c r="A71" i="5"/>
</calcChain>
</file>

<file path=xl/sharedStrings.xml><?xml version="1.0" encoding="utf-8"?>
<sst xmlns="http://schemas.openxmlformats.org/spreadsheetml/2006/main" count="227" uniqueCount="168">
  <si>
    <t>h1</t>
  </si>
  <si>
    <t>h2</t>
  </si>
  <si>
    <t>h1(kcal/kg)</t>
  </si>
  <si>
    <t>Presion 3 (ata)</t>
  </si>
  <si>
    <t>Temp 3 (ºC)</t>
  </si>
  <si>
    <t>h3(kj/kg)</t>
  </si>
  <si>
    <t>h3(kcal/kg)</t>
  </si>
  <si>
    <t>h1(kj/kg)</t>
  </si>
  <si>
    <t>Caso ideal</t>
  </si>
  <si>
    <t>S4 (kj/kgK)</t>
  </si>
  <si>
    <t>s3(kj/kgK)</t>
  </si>
  <si>
    <t>P4 (ata)</t>
  </si>
  <si>
    <t>h4(kj/kg)</t>
  </si>
  <si>
    <t>h4(kcal/kg)</t>
  </si>
  <si>
    <t>h5(kj/kg)</t>
  </si>
  <si>
    <t>h5(kcal/kg)</t>
  </si>
  <si>
    <t>s5(kj/kgK)</t>
  </si>
  <si>
    <t>s6(kj/kgK)</t>
  </si>
  <si>
    <t>S6' para esa P6</t>
  </si>
  <si>
    <t>S6''para esa P6</t>
  </si>
  <si>
    <t>h6' para esa P6</t>
  </si>
  <si>
    <t>h6'' para esa P6</t>
  </si>
  <si>
    <t>h6(kcal/kg)</t>
  </si>
  <si>
    <t>PUNTO 1 o BOMBA 1</t>
  </si>
  <si>
    <t>Xn'</t>
  </si>
  <si>
    <t>hn'(kj/kg)</t>
  </si>
  <si>
    <t>hn'(kcal/kg)</t>
  </si>
  <si>
    <t>T4</t>
  </si>
  <si>
    <t>hE</t>
  </si>
  <si>
    <t>s1(kj/kgK)</t>
  </si>
  <si>
    <t>hn</t>
  </si>
  <si>
    <t>PUNTO E</t>
  </si>
  <si>
    <t>ENTRADA TURBINA 1</t>
  </si>
  <si>
    <t>PUNTO 3</t>
  </si>
  <si>
    <t>SALIDA TURBINA 1</t>
  </si>
  <si>
    <t>PUNTO 4</t>
  </si>
  <si>
    <t>ENTRADA TURBINA 2</t>
  </si>
  <si>
    <t>PUNTO 5</t>
  </si>
  <si>
    <t>PUNTO 6</t>
  </si>
  <si>
    <t>ENTRADA TURBINA 3</t>
  </si>
  <si>
    <t>PUNTO 7</t>
  </si>
  <si>
    <t>SALIDA TURBINA 2</t>
  </si>
  <si>
    <t>SALIDA TURBINA 3</t>
  </si>
  <si>
    <t>PUNTO 8</t>
  </si>
  <si>
    <t>3 TURBINAS - 1 BOMBA - SIN EXTRACTORES</t>
  </si>
  <si>
    <t>h7(kj/kg)</t>
  </si>
  <si>
    <t>h7(kcal/kg)</t>
  </si>
  <si>
    <t>s7(kj/kgK)</t>
  </si>
  <si>
    <t>h6(kj/kg)</t>
  </si>
  <si>
    <t>S6 (kj/kgK)</t>
  </si>
  <si>
    <t>T6(ºC)</t>
  </si>
  <si>
    <t>P6 (ata)</t>
  </si>
  <si>
    <t>P5 (ata)</t>
  </si>
  <si>
    <t>P7 (ata)</t>
  </si>
  <si>
    <t>P8 (ata)</t>
  </si>
  <si>
    <t>DESPUES DEL CONDENSADOR</t>
  </si>
  <si>
    <t>X8</t>
  </si>
  <si>
    <t>T8</t>
  </si>
  <si>
    <t>h8' para esa P8</t>
  </si>
  <si>
    <t>h8'' para esa P8</t>
  </si>
  <si>
    <t>h8(kcal/kg)</t>
  </si>
  <si>
    <t>h8 (kj/kg)</t>
  </si>
  <si>
    <t>DESPUES DE BOMBA</t>
  </si>
  <si>
    <t xml:space="preserve">PUNTO 2 </t>
  </si>
  <si>
    <t>P2(ata)</t>
  </si>
  <si>
    <t>P1(ata)</t>
  </si>
  <si>
    <t>X1</t>
  </si>
  <si>
    <t>RESULTADOS</t>
  </si>
  <si>
    <t>W BOMBA (Kcal/Kg)</t>
  </si>
  <si>
    <t>h2 (Kcal/kg)</t>
  </si>
  <si>
    <t>COLOCAR POTENCIA REQUERIDA (KW)</t>
  </si>
  <si>
    <t>EN BASE AL CAUDAL OBTENIDO, QUE CAUDAL UTILIZARIA</t>
  </si>
  <si>
    <t>T5 (ºC)</t>
  </si>
  <si>
    <t>T7 (ºC)</t>
  </si>
  <si>
    <t>s8(kj/kgK)</t>
  </si>
  <si>
    <t>S8' para esa P8</t>
  </si>
  <si>
    <t>S8''para esa P8</t>
  </si>
  <si>
    <t>X6</t>
  </si>
  <si>
    <t>T6</t>
  </si>
  <si>
    <t>T1</t>
  </si>
  <si>
    <t xml:space="preserve">EXTRACCION TURBINA DE BAJA </t>
  </si>
  <si>
    <t>Caso Ideal</t>
  </si>
  <si>
    <t>SE (kj/kgK)</t>
  </si>
  <si>
    <t>PUNTO 2 o BOMBA 1</t>
  </si>
  <si>
    <t>2 TURBINAS -  2 BOMBAS - CON EXTRACTORES EN ALTA O EN BAJA</t>
  </si>
  <si>
    <t>h2 (Kj/kg)</t>
  </si>
  <si>
    <t>T1(ºC)</t>
  </si>
  <si>
    <t>T2(ºC)</t>
  </si>
  <si>
    <t>DESPUES DEL INTERCAMBIADOR</t>
  </si>
  <si>
    <t>PUNTO n' o BOMBA 2</t>
  </si>
  <si>
    <t>PUNTO n'' o BOMBA 2</t>
  </si>
  <si>
    <t>sn'(kj/kgK)</t>
  </si>
  <si>
    <t>Tn'(ºC)</t>
  </si>
  <si>
    <t>DESPUES DE BOMBA 2</t>
  </si>
  <si>
    <t>DESPUES DE BOMBA 1</t>
  </si>
  <si>
    <t>DESPUES DE INTERCAMBIADOR</t>
  </si>
  <si>
    <t>PUNTO n</t>
  </si>
  <si>
    <t>Pn(ata)</t>
  </si>
  <si>
    <t>Pn''(ata)</t>
  </si>
  <si>
    <t>sn''(kj/kgK)</t>
  </si>
  <si>
    <t>Tn''(ºC)</t>
  </si>
  <si>
    <t>Pn'(ata)</t>
  </si>
  <si>
    <t>hn'' (Kcal/kg)</t>
  </si>
  <si>
    <t>W BOMBA 2 (Kcal/Kg)</t>
  </si>
  <si>
    <t>W BOMBA 1 (Kcal/Kg)</t>
  </si>
  <si>
    <t>hn'' (Kj/kg)</t>
  </si>
  <si>
    <t>¿EXTRACTOR EN ALTA O BAJA PRESION?</t>
  </si>
  <si>
    <t>ext en bp</t>
  </si>
  <si>
    <t>"=&gt;"</t>
  </si>
  <si>
    <t>hn'</t>
  </si>
  <si>
    <t>h3</t>
  </si>
  <si>
    <t>h4</t>
  </si>
  <si>
    <t>h5 o hentrBP</t>
  </si>
  <si>
    <t>h6 o hsalBP</t>
  </si>
  <si>
    <t>hn (kcal/kg)</t>
  </si>
  <si>
    <t>hn-h2</t>
  </si>
  <si>
    <t>hE-hn'</t>
  </si>
  <si>
    <t>h3-h4</t>
  </si>
  <si>
    <t>h5-h6</t>
  </si>
  <si>
    <t xml:space="preserve">gc = </t>
  </si>
  <si>
    <t>TE (ºC)</t>
  </si>
  <si>
    <t>hE(kj/kg)</t>
  </si>
  <si>
    <t>hE(kcal/kg)</t>
  </si>
  <si>
    <t>hn (kj/kg)</t>
  </si>
  <si>
    <t>hn-h2/hE-hn'</t>
  </si>
  <si>
    <t>deltaHAP</t>
  </si>
  <si>
    <t>deltahHBP</t>
  </si>
  <si>
    <t>h5-he</t>
  </si>
  <si>
    <t>hEntradaBP-hE</t>
  </si>
  <si>
    <t>ge =</t>
  </si>
  <si>
    <t>gv (total)</t>
  </si>
  <si>
    <t>nuevo caudal ext bp</t>
  </si>
  <si>
    <t>1termino</t>
  </si>
  <si>
    <t>2termino</t>
  </si>
  <si>
    <t>3termino</t>
  </si>
  <si>
    <t>numerador</t>
  </si>
  <si>
    <t>gc =</t>
  </si>
  <si>
    <t>gv</t>
  </si>
  <si>
    <t>ge=</t>
  </si>
  <si>
    <t>N bomba 1</t>
  </si>
  <si>
    <t>hn''-hn'</t>
  </si>
  <si>
    <t>hn''</t>
  </si>
  <si>
    <t>ext en ap</t>
  </si>
  <si>
    <t>h2-h1</t>
  </si>
  <si>
    <t>h3-hE</t>
  </si>
  <si>
    <t>calculos no visibles</t>
  </si>
  <si>
    <t>nuevo caudal ext ap</t>
  </si>
  <si>
    <t>potencia total</t>
  </si>
  <si>
    <t xml:space="preserve">pot con </t>
  </si>
  <si>
    <t>GENERAR GRAFICO</t>
  </si>
  <si>
    <t>Tn(ºC)</t>
  </si>
  <si>
    <t>hay que adoptar?</t>
  </si>
  <si>
    <t>back-end</t>
  </si>
  <si>
    <t>alfa</t>
  </si>
  <si>
    <t>alfa 2</t>
  </si>
  <si>
    <t>he-hn'/hn-h2</t>
  </si>
  <si>
    <t>1+alfa</t>
  </si>
  <si>
    <t>1+alfa2</t>
  </si>
  <si>
    <t>4termino</t>
  </si>
  <si>
    <t>2ter</t>
  </si>
  <si>
    <t>3ter</t>
  </si>
  <si>
    <t>4ter</t>
  </si>
  <si>
    <t>5ter</t>
  </si>
  <si>
    <t>ver esto si esta bien</t>
  </si>
  <si>
    <t>º</t>
  </si>
  <si>
    <t>hE-h6</t>
  </si>
  <si>
    <t>EN BASE AL CAUDAL OBTENIDO, QUE CAUDAL Qv UTILIZARIA</t>
  </si>
  <si>
    <t>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</si>
</sst>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3" borderId="11" xfId="0" applyFill="1" applyBorder="1"/>
    <xf numFmtId="0" fontId="0" fillId="3" borderId="11" xfId="0" applyFill="1" applyBorder="1" applyAlignment="1">
      <alignment wrapText="1"/>
    </xf>
    <xf numFmtId="0" fontId="0" fillId="0" borderId="11" xfId="0" applyBorder="1"/>
    <xf numFmtId="0" fontId="0" fillId="4" borderId="11" xfId="0" applyFill="1" applyBorder="1" applyAlignment="1">
      <alignment wrapText="1"/>
    </xf>
    <xf numFmtId="0" fontId="0" fillId="4" borderId="11" xfId="0" applyFill="1" applyBorder="1"/>
    <xf numFmtId="0" fontId="1" fillId="4" borderId="0" xfId="0" applyFont="1" applyFill="1" applyBorder="1"/>
    <xf numFmtId="0" fontId="0" fillId="4" borderId="0" xfId="0" applyFill="1" applyAlignment="1"/>
    <xf numFmtId="0" fontId="0" fillId="3" borderId="12" xfId="0" applyFill="1" applyBorder="1" applyAlignment="1">
      <alignment wrapText="1"/>
    </xf>
    <xf numFmtId="0" fontId="0" fillId="3" borderId="12" xfId="0" applyFill="1" applyBorder="1"/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0" xfId="0" applyFont="1"/>
    <xf numFmtId="0" fontId="0" fillId="4" borderId="0" xfId="0" applyFill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5" fillId="4" borderId="0" xfId="0" applyFont="1" applyFill="1" applyAlignment="1">
      <alignment horizontal="center" vertical="center" wrapText="1"/>
    </xf>
    <xf numFmtId="0" fontId="1" fillId="4" borderId="0" xfId="0" applyFont="1" applyFill="1"/>
    <xf numFmtId="0" fontId="8" fillId="0" borderId="0" xfId="0" applyFont="1"/>
    <xf numFmtId="0" fontId="0" fillId="3" borderId="11" xfId="0" applyFont="1" applyFill="1" applyBorder="1" applyAlignment="1">
      <alignment wrapText="1"/>
    </xf>
    <xf numFmtId="0" fontId="0" fillId="3" borderId="11" xfId="0" applyFont="1" applyFill="1" applyBorder="1"/>
    <xf numFmtId="0" fontId="0" fillId="4" borderId="11" xfId="0" applyFont="1" applyFill="1" applyBorder="1"/>
    <xf numFmtId="0" fontId="0" fillId="0" borderId="11" xfId="0" applyFont="1" applyBorder="1"/>
    <xf numFmtId="0" fontId="0" fillId="4" borderId="0" xfId="0" applyFont="1" applyFill="1"/>
    <xf numFmtId="0" fontId="0" fillId="4" borderId="0" xfId="0" applyFont="1" applyFill="1" applyBorder="1"/>
    <xf numFmtId="0" fontId="1" fillId="0" borderId="0" xfId="0" applyFont="1" applyBorder="1"/>
    <xf numFmtId="0" fontId="0" fillId="4" borderId="11" xfId="0" applyFont="1" applyFill="1" applyBorder="1" applyAlignment="1">
      <alignment wrapText="1"/>
    </xf>
    <xf numFmtId="2" fontId="0" fillId="4" borderId="11" xfId="0" applyNumberFormat="1" applyFill="1" applyBorder="1"/>
    <xf numFmtId="2" fontId="0" fillId="0" borderId="11" xfId="0" applyNumberFormat="1" applyBorder="1"/>
    <xf numFmtId="0" fontId="0" fillId="4" borderId="11" xfId="0" applyFill="1" applyBorder="1" applyAlignment="1">
      <alignment horizontal="left" vertical="center" wrapText="1"/>
    </xf>
    <xf numFmtId="2" fontId="0" fillId="4" borderId="11" xfId="0" applyNumberFormat="1" applyFill="1" applyBorder="1" applyAlignment="1">
      <alignment vertical="center"/>
    </xf>
    <xf numFmtId="2" fontId="0" fillId="4" borderId="11" xfId="0" applyNumberFormat="1" applyFont="1" applyFill="1" applyBorder="1"/>
    <xf numFmtId="0" fontId="0" fillId="0" borderId="0" xfId="0" applyBorder="1"/>
    <xf numFmtId="2" fontId="0" fillId="0" borderId="0" xfId="0" applyNumberFormat="1" applyBorder="1"/>
    <xf numFmtId="0" fontId="0" fillId="0" borderId="0" xfId="0" applyFont="1" applyBorder="1"/>
    <xf numFmtId="0" fontId="1" fillId="0" borderId="0" xfId="0" applyFont="1"/>
    <xf numFmtId="0" fontId="0" fillId="4" borderId="13" xfId="0" applyFont="1" applyFill="1" applyBorder="1"/>
    <xf numFmtId="0" fontId="0" fillId="4" borderId="13" xfId="0" applyFont="1" applyFill="1" applyBorder="1" applyAlignment="1">
      <alignment horizontal="right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 vertical="center" wrapText="1"/>
    </xf>
    <xf numFmtId="0" fontId="6" fillId="6" borderId="0" xfId="0" applyFont="1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7" borderId="0" xfId="0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3" borderId="2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7" borderId="0" xfId="0" applyFont="1" applyFill="1" applyAlignment="1">
      <alignment horizont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1" fillId="4" borderId="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right"/>
    </xf>
    <xf numFmtId="164" fontId="1" fillId="4" borderId="0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76200</xdr:rowOff>
        </xdr:from>
        <xdr:to>
          <xdr:col>3</xdr:col>
          <xdr:colOff>419100</xdr:colOff>
          <xdr:row>8</xdr:row>
          <xdr:rowOff>104775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133350</xdr:rowOff>
        </xdr:from>
        <xdr:to>
          <xdr:col>3</xdr:col>
          <xdr:colOff>447675</xdr:colOff>
          <xdr:row>16</xdr:row>
          <xdr:rowOff>161925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10</xdr:row>
          <xdr:rowOff>95250</xdr:rowOff>
        </xdr:from>
        <xdr:to>
          <xdr:col>6</xdr:col>
          <xdr:colOff>371475</xdr:colOff>
          <xdr:row>16</xdr:row>
          <xdr:rowOff>123825</xdr:rowOff>
        </xdr:to>
        <xdr:sp macro="" textlink="">
          <xdr:nvSpPr>
            <xdr:cNvPr id="6149" name="CommandButton3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10</xdr:row>
          <xdr:rowOff>76200</xdr:rowOff>
        </xdr:from>
        <xdr:to>
          <xdr:col>9</xdr:col>
          <xdr:colOff>457200</xdr:colOff>
          <xdr:row>16</xdr:row>
          <xdr:rowOff>104775</xdr:rowOff>
        </xdr:to>
        <xdr:sp macro="" textlink="">
          <xdr:nvSpPr>
            <xdr:cNvPr id="6150" name="CommandButton4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</xdr:row>
          <xdr:rowOff>95250</xdr:rowOff>
        </xdr:from>
        <xdr:to>
          <xdr:col>9</xdr:col>
          <xdr:colOff>447675</xdr:colOff>
          <xdr:row>8</xdr:row>
          <xdr:rowOff>123825</xdr:rowOff>
        </xdr:to>
        <xdr:sp macro="" textlink="">
          <xdr:nvSpPr>
            <xdr:cNvPr id="6151" name="CommandButton5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95250</xdr:rowOff>
        </xdr:from>
        <xdr:to>
          <xdr:col>6</xdr:col>
          <xdr:colOff>447675</xdr:colOff>
          <xdr:row>8</xdr:row>
          <xdr:rowOff>76200</xdr:rowOff>
        </xdr:to>
        <xdr:sp macro="" textlink="">
          <xdr:nvSpPr>
            <xdr:cNvPr id="6152" name="CommandButton6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1034142</xdr:colOff>
      <xdr:row>21</xdr:row>
      <xdr:rowOff>1</xdr:rowOff>
    </xdr:from>
    <xdr:to>
      <xdr:col>17</xdr:col>
      <xdr:colOff>1034143</xdr:colOff>
      <xdr:row>22</xdr:row>
      <xdr:rowOff>136071</xdr:rowOff>
    </xdr:to>
    <xdr:cxnSp macro="">
      <xdr:nvCxnSpPr>
        <xdr:cNvPr id="5" name="Conector recto de flecha 4"/>
        <xdr:cNvCxnSpPr/>
      </xdr:nvCxnSpPr>
      <xdr:spPr>
        <a:xfrm>
          <a:off x="33238167" y="6029326"/>
          <a:ext cx="1" cy="51707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15</xdr:row>
      <xdr:rowOff>54429</xdr:rowOff>
    </xdr:from>
    <xdr:to>
      <xdr:col>18</xdr:col>
      <xdr:colOff>1360</xdr:colOff>
      <xdr:row>17</xdr:row>
      <xdr:rowOff>85725</xdr:rowOff>
    </xdr:to>
    <xdr:cxnSp macro="">
      <xdr:nvCxnSpPr>
        <xdr:cNvPr id="6" name="Conector recto de flecha 5"/>
        <xdr:cNvCxnSpPr/>
      </xdr:nvCxnSpPr>
      <xdr:spPr>
        <a:xfrm flipH="1">
          <a:off x="13868400" y="2445204"/>
          <a:ext cx="1360" cy="412296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57150</xdr:rowOff>
        </xdr:from>
        <xdr:to>
          <xdr:col>1</xdr:col>
          <xdr:colOff>542925</xdr:colOff>
          <xdr:row>4</xdr:row>
          <xdr:rowOff>323850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639538</xdr:colOff>
      <xdr:row>45</xdr:row>
      <xdr:rowOff>68037</xdr:rowOff>
    </xdr:from>
    <xdr:to>
      <xdr:col>13</xdr:col>
      <xdr:colOff>721180</xdr:colOff>
      <xdr:row>75</xdr:row>
      <xdr:rowOff>32717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1538" y="9865180"/>
          <a:ext cx="9225642" cy="5679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5</xdr:row>
          <xdr:rowOff>161925</xdr:rowOff>
        </xdr:from>
        <xdr:to>
          <xdr:col>7</xdr:col>
          <xdr:colOff>66675</xdr:colOff>
          <xdr:row>6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5</xdr:row>
          <xdr:rowOff>161925</xdr:rowOff>
        </xdr:from>
        <xdr:to>
          <xdr:col>13</xdr:col>
          <xdr:colOff>76200</xdr:colOff>
          <xdr:row>6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1034142</xdr:colOff>
      <xdr:row>24</xdr:row>
      <xdr:rowOff>1</xdr:rowOff>
    </xdr:from>
    <xdr:to>
      <xdr:col>14</xdr:col>
      <xdr:colOff>1034143</xdr:colOff>
      <xdr:row>25</xdr:row>
      <xdr:rowOff>136071</xdr:rowOff>
    </xdr:to>
    <xdr:cxnSp macro="">
      <xdr:nvCxnSpPr>
        <xdr:cNvPr id="9" name="Conector recto de flecha 8"/>
        <xdr:cNvCxnSpPr/>
      </xdr:nvCxnSpPr>
      <xdr:spPr>
        <a:xfrm>
          <a:off x="13930992" y="5305426"/>
          <a:ext cx="1" cy="32657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17</xdr:row>
      <xdr:rowOff>54429</xdr:rowOff>
    </xdr:from>
    <xdr:to>
      <xdr:col>15</xdr:col>
      <xdr:colOff>1360</xdr:colOff>
      <xdr:row>20</xdr:row>
      <xdr:rowOff>85725</xdr:rowOff>
    </xdr:to>
    <xdr:cxnSp macro="">
      <xdr:nvCxnSpPr>
        <xdr:cNvPr id="10" name="Conector recto de flecha 9"/>
        <xdr:cNvCxnSpPr/>
      </xdr:nvCxnSpPr>
      <xdr:spPr>
        <a:xfrm flipH="1">
          <a:off x="13935075" y="3835854"/>
          <a:ext cx="1360" cy="412296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2</xdr:row>
          <xdr:rowOff>219075</xdr:rowOff>
        </xdr:from>
        <xdr:to>
          <xdr:col>19</xdr:col>
          <xdr:colOff>200025</xdr:colOff>
          <xdr:row>5</xdr:row>
          <xdr:rowOff>28575</xdr:rowOff>
        </xdr:to>
        <xdr:sp macro="" textlink="">
          <xdr:nvSpPr>
            <xdr:cNvPr id="5124" name="CommandButton1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447675</xdr:colOff>
          <xdr:row>2</xdr:row>
          <xdr:rowOff>200025</xdr:rowOff>
        </xdr:from>
        <xdr:to>
          <xdr:col>21</xdr:col>
          <xdr:colOff>28575</xdr:colOff>
          <xdr:row>5</xdr:row>
          <xdr:rowOff>28575</xdr:rowOff>
        </xdr:to>
        <xdr:sp macro="" textlink="">
          <xdr:nvSpPr>
            <xdr:cNvPr id="5125" name="CommandButton2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1</xdr:col>
          <xdr:colOff>485775</xdr:colOff>
          <xdr:row>5</xdr:row>
          <xdr:rowOff>66675</xdr:rowOff>
        </xdr:to>
        <xdr:sp macro="" textlink="">
          <xdr:nvSpPr>
            <xdr:cNvPr id="5126" name="CommandButton3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4</xdr:row>
          <xdr:rowOff>28575</xdr:rowOff>
        </xdr:from>
        <xdr:to>
          <xdr:col>11</xdr:col>
          <xdr:colOff>438150</xdr:colOff>
          <xdr:row>7</xdr:row>
          <xdr:rowOff>9525</xdr:rowOff>
        </xdr:to>
        <xdr:sp macro="" textlink="">
          <xdr:nvSpPr>
            <xdr:cNvPr id="5127" name="CommandButton4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2</xdr:row>
          <xdr:rowOff>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5128" name="CommandButton5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38100</xdr:rowOff>
        </xdr:from>
        <xdr:to>
          <xdr:col>7</xdr:col>
          <xdr:colOff>0</xdr:colOff>
          <xdr:row>18</xdr:row>
          <xdr:rowOff>142875</xdr:rowOff>
        </xdr:to>
        <xdr:sp macro="" textlink="">
          <xdr:nvSpPr>
            <xdr:cNvPr id="5129" name="CommandButton6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18</xdr:row>
          <xdr:rowOff>66675</xdr:rowOff>
        </xdr:from>
        <xdr:to>
          <xdr:col>12</xdr:col>
          <xdr:colOff>857250</xdr:colOff>
          <xdr:row>19</xdr:row>
          <xdr:rowOff>276225</xdr:rowOff>
        </xdr:to>
        <xdr:sp macro="" textlink="">
          <xdr:nvSpPr>
            <xdr:cNvPr id="5130" name="CommandButton7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38</xdr:row>
          <xdr:rowOff>47625</xdr:rowOff>
        </xdr:from>
        <xdr:to>
          <xdr:col>6</xdr:col>
          <xdr:colOff>742950</xdr:colOff>
          <xdr:row>40</xdr:row>
          <xdr:rowOff>28575</xdr:rowOff>
        </xdr:to>
        <xdr:sp macro="" textlink="">
          <xdr:nvSpPr>
            <xdr:cNvPr id="5131" name="CommandButton8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27</xdr:row>
          <xdr:rowOff>76200</xdr:rowOff>
        </xdr:from>
        <xdr:to>
          <xdr:col>7</xdr:col>
          <xdr:colOff>9525</xdr:colOff>
          <xdr:row>29</xdr:row>
          <xdr:rowOff>47625</xdr:rowOff>
        </xdr:to>
        <xdr:sp macro="" textlink="">
          <xdr:nvSpPr>
            <xdr:cNvPr id="5132" name="CommandButton9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339821</xdr:colOff>
      <xdr:row>27</xdr:row>
      <xdr:rowOff>8847</xdr:rowOff>
    </xdr:from>
    <xdr:to>
      <xdr:col>21</xdr:col>
      <xdr:colOff>691780</xdr:colOff>
      <xdr:row>54</xdr:row>
      <xdr:rowOff>186284</xdr:rowOff>
    </xdr:to>
    <xdr:pic>
      <xdr:nvPicPr>
        <xdr:cNvPr id="12" name="Imagen 1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3928" y="6676347"/>
          <a:ext cx="6407138" cy="5878830"/>
        </a:xfrm>
        <a:prstGeom prst="rect">
          <a:avLst/>
        </a:prstGeom>
        <a:noFill/>
        <a:ln>
          <a:noFill/>
        </a:ln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14</xdr:col>
      <xdr:colOff>462638</xdr:colOff>
      <xdr:row>27</xdr:row>
      <xdr:rowOff>136072</xdr:rowOff>
    </xdr:from>
    <xdr:to>
      <xdr:col>22</xdr:col>
      <xdr:colOff>46803</xdr:colOff>
      <xdr:row>53</xdr:row>
      <xdr:rowOff>177801</xdr:rowOff>
    </xdr:to>
    <xdr:pic>
      <xdr:nvPicPr>
        <xdr:cNvPr id="11" name="Imagen 10" descr="regencbmp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745" y="6803572"/>
          <a:ext cx="6401344" cy="555262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blasVap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NTO 1"/>
      <sheetName val="PUNTO2"/>
      <sheetName val="PUNTO 3"/>
      <sheetName val="Gráfico1"/>
      <sheetName val="PUNTO4"/>
      <sheetName val="PUNTO 5"/>
      <sheetName val="PUNTOE"/>
      <sheetName val="PUNTO 6"/>
      <sheetName val="PUNTO nprima"/>
      <sheetName val="PUNTOnprimaprima"/>
      <sheetName val="PUNTO n"/>
      <sheetName val="_______________________________"/>
      <sheetName val="3TPUNTO3"/>
      <sheetName val="3TPUNTO4"/>
      <sheetName val="3TPUNTO5"/>
      <sheetName val="3TPUNTO7"/>
      <sheetName val="3TPUNTO6"/>
      <sheetName val="3TPUNTO8"/>
      <sheetName val="3TPUNTO1"/>
      <sheetName val="TABLA_AGUA_SOBRECALENTADA"/>
      <sheetName val="TABLA_PRESIÓN"/>
      <sheetName val="TABLA_TEMPERATURA"/>
      <sheetName val="FUNCIONES"/>
      <sheetName val="Hoja1"/>
      <sheetName val="Hoja2"/>
    </sheetNames>
    <sheetDataSet>
      <sheetData sheetId="0">
        <row r="19">
          <cell r="C19">
            <v>137.76511898849057</v>
          </cell>
        </row>
        <row r="23">
          <cell r="C23">
            <v>0.47625378950510244</v>
          </cell>
        </row>
      </sheetData>
      <sheetData sheetId="1">
        <row r="7">
          <cell r="C7">
            <v>30</v>
          </cell>
        </row>
        <row r="13">
          <cell r="C13">
            <v>0.43402884246382717</v>
          </cell>
        </row>
      </sheetData>
      <sheetData sheetId="2">
        <row r="12">
          <cell r="C12">
            <v>3501.9399332829548</v>
          </cell>
        </row>
        <row r="13">
          <cell r="C13">
            <v>6.7583707743887764</v>
          </cell>
        </row>
      </sheetData>
      <sheetData sheetId="4">
        <row r="7">
          <cell r="C7">
            <v>430</v>
          </cell>
        </row>
        <row r="12">
          <cell r="C12">
            <v>3269.3657781374773</v>
          </cell>
        </row>
      </sheetData>
      <sheetData sheetId="5">
        <row r="12">
          <cell r="C12">
            <v>3284.6624895530458</v>
          </cell>
        </row>
        <row r="13">
          <cell r="C13">
            <v>6.8733562925608913</v>
          </cell>
        </row>
      </sheetData>
      <sheetData sheetId="6">
        <row r="7">
          <cell r="C7">
            <v>290</v>
          </cell>
        </row>
        <row r="12">
          <cell r="C12">
            <v>3015.9217954697069</v>
          </cell>
        </row>
      </sheetData>
      <sheetData sheetId="7">
        <row r="9">
          <cell r="C9">
            <v>32.875489523760166</v>
          </cell>
        </row>
        <row r="19">
          <cell r="C19">
            <v>137.76511898849057</v>
          </cell>
        </row>
        <row r="21">
          <cell r="C21">
            <v>2560.7651042248485</v>
          </cell>
        </row>
        <row r="23">
          <cell r="C23">
            <v>0.47625378950510244</v>
          </cell>
        </row>
        <row r="25">
          <cell r="C25">
            <v>8.393914568950521</v>
          </cell>
        </row>
      </sheetData>
      <sheetData sheetId="8">
        <row r="9">
          <cell r="C9">
            <v>198.29524288241385</v>
          </cell>
        </row>
        <row r="19">
          <cell r="C19">
            <v>844.71691478558705</v>
          </cell>
        </row>
        <row r="23">
          <cell r="C23">
            <v>2.3146816304389946</v>
          </cell>
        </row>
      </sheetData>
      <sheetData sheetId="9">
        <row r="7">
          <cell r="C7">
            <v>200</v>
          </cell>
        </row>
        <row r="13">
          <cell r="C13">
            <v>2.3192011487551776</v>
          </cell>
        </row>
      </sheetData>
      <sheetData sheetId="10">
        <row r="12">
          <cell r="C12">
            <v>811.6648567106821</v>
          </cell>
        </row>
      </sheetData>
      <sheetData sheetId="11"/>
      <sheetData sheetId="12">
        <row r="12">
          <cell r="C12">
            <v>3755.3895657702901</v>
          </cell>
        </row>
        <row r="13">
          <cell r="C13">
            <v>7.0954814094271059</v>
          </cell>
        </row>
      </sheetData>
      <sheetData sheetId="13">
        <row r="7">
          <cell r="C7">
            <v>350</v>
          </cell>
        </row>
        <row r="12">
          <cell r="C12">
            <v>3137.6412148612649</v>
          </cell>
        </row>
      </sheetData>
      <sheetData sheetId="14">
        <row r="12">
          <cell r="C12">
            <v>3787.4083359749138</v>
          </cell>
        </row>
        <row r="13">
          <cell r="C13">
            <v>7.4525694317985813</v>
          </cell>
        </row>
      </sheetData>
      <sheetData sheetId="15">
        <row r="12">
          <cell r="C12">
            <v>3748.3206662644266</v>
          </cell>
        </row>
        <row r="13">
          <cell r="C13">
            <v>7.0409178013196128</v>
          </cell>
        </row>
      </sheetData>
      <sheetData sheetId="16">
        <row r="7">
          <cell r="C7">
            <v>230</v>
          </cell>
        </row>
        <row r="12">
          <cell r="C12">
            <v>2927.2642016681652</v>
          </cell>
        </row>
      </sheetData>
      <sheetData sheetId="17">
        <row r="19">
          <cell r="C19">
            <v>151.4939906140371</v>
          </cell>
        </row>
        <row r="21">
          <cell r="C21">
            <v>2566.667258325981</v>
          </cell>
        </row>
        <row r="23">
          <cell r="C23">
            <v>0.52087332517804286</v>
          </cell>
        </row>
        <row r="25">
          <cell r="C25">
            <v>8.3291464555251835</v>
          </cell>
        </row>
      </sheetData>
      <sheetData sheetId="18">
        <row r="9">
          <cell r="C9">
            <v>36.160259151116065</v>
          </cell>
        </row>
        <row r="19">
          <cell r="C19">
            <v>151.4939906140371</v>
          </cell>
        </row>
        <row r="23">
          <cell r="C23">
            <v>0.52087332517804286</v>
          </cell>
        </row>
      </sheetData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ntrol" Target="../activeX/activeX15.xml"/><Relationship Id="rId18" Type="http://schemas.openxmlformats.org/officeDocument/2006/relationships/image" Target="../media/image15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2.emf"/><Relationship Id="rId17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10" Type="http://schemas.openxmlformats.org/officeDocument/2006/relationships/image" Target="../media/image11.emf"/><Relationship Id="rId19" Type="http://schemas.openxmlformats.org/officeDocument/2006/relationships/control" Target="../activeX/activeX18.xml"/><Relationship Id="rId4" Type="http://schemas.openxmlformats.org/officeDocument/2006/relationships/image" Target="../media/image8.emf"/><Relationship Id="rId9" Type="http://schemas.openxmlformats.org/officeDocument/2006/relationships/control" Target="../activeX/activeX13.xml"/><Relationship Id="rId1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L1:M1"/>
  <sheetViews>
    <sheetView showGridLines="0" tabSelected="1" workbookViewId="0"/>
  </sheetViews>
  <sheetFormatPr baseColWidth="10" defaultRowHeight="15" x14ac:dyDescent="0.25"/>
  <sheetData>
    <row r="1" spans="12:13" x14ac:dyDescent="0.25">
      <c r="L1" s="44"/>
      <c r="M1" s="44"/>
    </row>
  </sheetData>
  <mergeCells count="1">
    <mergeCell ref="L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CommandButton6">
          <controlPr defaultSize="0" autoLine="0" autoPict="0" r:id="rId4">
            <anchor moveWithCells="1">
              <from>
                <xdr:col>4</xdr:col>
                <xdr:colOff>76200</xdr:colOff>
                <xdr:row>2</xdr:row>
                <xdr:rowOff>95250</xdr:rowOff>
              </from>
              <to>
                <xdr:col>6</xdr:col>
                <xdr:colOff>447675</xdr:colOff>
                <xdr:row>8</xdr:row>
                <xdr:rowOff>76200</xdr:rowOff>
              </to>
            </anchor>
          </controlPr>
        </control>
      </mc:Choice>
      <mc:Fallback>
        <control shapeId="6152" r:id="rId3" name="CommandButton6"/>
      </mc:Fallback>
    </mc:AlternateContent>
    <mc:AlternateContent xmlns:mc="http://schemas.openxmlformats.org/markup-compatibility/2006">
      <mc:Choice Requires="x14">
        <control shapeId="6151" r:id="rId5" name="CommandButton5">
          <controlPr defaultSize="0" autoLine="0" r:id="rId6">
            <anchor moveWithCells="1">
              <from>
                <xdr:col>7</xdr:col>
                <xdr:colOff>161925</xdr:colOff>
                <xdr:row>2</xdr:row>
                <xdr:rowOff>95250</xdr:rowOff>
              </from>
              <to>
                <xdr:col>9</xdr:col>
                <xdr:colOff>447675</xdr:colOff>
                <xdr:row>8</xdr:row>
                <xdr:rowOff>123825</xdr:rowOff>
              </to>
            </anchor>
          </controlPr>
        </control>
      </mc:Choice>
      <mc:Fallback>
        <control shapeId="6151" r:id="rId5" name="CommandButton5"/>
      </mc:Fallback>
    </mc:AlternateContent>
    <mc:AlternateContent xmlns:mc="http://schemas.openxmlformats.org/markup-compatibility/2006">
      <mc:Choice Requires="x14">
        <control shapeId="6150" r:id="rId7" name="CommandButton4">
          <controlPr defaultSize="0" autoLine="0" r:id="rId6">
            <anchor moveWithCells="1">
              <from>
                <xdr:col>7</xdr:col>
                <xdr:colOff>171450</xdr:colOff>
                <xdr:row>10</xdr:row>
                <xdr:rowOff>76200</xdr:rowOff>
              </from>
              <to>
                <xdr:col>9</xdr:col>
                <xdr:colOff>457200</xdr:colOff>
                <xdr:row>16</xdr:row>
                <xdr:rowOff>104775</xdr:rowOff>
              </to>
            </anchor>
          </controlPr>
        </control>
      </mc:Choice>
      <mc:Fallback>
        <control shapeId="6150" r:id="rId7" name="CommandButton4"/>
      </mc:Fallback>
    </mc:AlternateContent>
    <mc:AlternateContent xmlns:mc="http://schemas.openxmlformats.org/markup-compatibility/2006">
      <mc:Choice Requires="x14">
        <control shapeId="6149" r:id="rId8" name="CommandButton3">
          <controlPr defaultSize="0" autoLine="0" r:id="rId6">
            <anchor moveWithCells="1">
              <from>
                <xdr:col>4</xdr:col>
                <xdr:colOff>85725</xdr:colOff>
                <xdr:row>10</xdr:row>
                <xdr:rowOff>95250</xdr:rowOff>
              </from>
              <to>
                <xdr:col>6</xdr:col>
                <xdr:colOff>371475</xdr:colOff>
                <xdr:row>16</xdr:row>
                <xdr:rowOff>123825</xdr:rowOff>
              </to>
            </anchor>
          </controlPr>
        </control>
      </mc:Choice>
      <mc:Fallback>
        <control shapeId="6149" r:id="rId8" name="CommandButton3"/>
      </mc:Fallback>
    </mc:AlternateContent>
    <mc:AlternateContent xmlns:mc="http://schemas.openxmlformats.org/markup-compatibility/2006">
      <mc:Choice Requires="x14">
        <control shapeId="6148" r:id="rId9" name="CommandButton2">
          <controlPr defaultSize="0" autoLine="0" r:id="rId6">
            <anchor moveWithCells="1">
              <from>
                <xdr:col>1</xdr:col>
                <xdr:colOff>161925</xdr:colOff>
                <xdr:row>10</xdr:row>
                <xdr:rowOff>133350</xdr:rowOff>
              </from>
              <to>
                <xdr:col>3</xdr:col>
                <xdr:colOff>447675</xdr:colOff>
                <xdr:row>16</xdr:row>
                <xdr:rowOff>161925</xdr:rowOff>
              </to>
            </anchor>
          </controlPr>
        </control>
      </mc:Choice>
      <mc:Fallback>
        <control shapeId="6148" r:id="rId9" name="CommandButton2"/>
      </mc:Fallback>
    </mc:AlternateContent>
    <mc:AlternateContent xmlns:mc="http://schemas.openxmlformats.org/markup-compatibility/2006">
      <mc:Choice Requires="x14">
        <control shapeId="6145" r:id="rId10" name="CommandButton1">
          <controlPr defaultSize="0" autoLine="0" r:id="rId11">
            <anchor moveWithCells="1">
              <from>
                <xdr:col>1</xdr:col>
                <xdr:colOff>133350</xdr:colOff>
                <xdr:row>2</xdr:row>
                <xdr:rowOff>76200</xdr:rowOff>
              </from>
              <to>
                <xdr:col>3</xdr:col>
                <xdr:colOff>419100</xdr:colOff>
                <xdr:row>8</xdr:row>
                <xdr:rowOff>104775</xdr:rowOff>
              </to>
            </anchor>
          </controlPr>
        </control>
      </mc:Choice>
      <mc:Fallback>
        <control shapeId="614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42"/>
  <sheetViews>
    <sheetView showGridLines="0" zoomScale="70" zoomScaleNormal="70" workbookViewId="0">
      <selection sqref="A1:S2"/>
    </sheetView>
  </sheetViews>
  <sheetFormatPr baseColWidth="10" defaultRowHeight="15" x14ac:dyDescent="0.25"/>
  <cols>
    <col min="18" max="18" width="17.7109375" customWidth="1"/>
  </cols>
  <sheetData>
    <row r="1" spans="1:19" ht="15" customHeight="1" x14ac:dyDescent="0.25">
      <c r="A1" s="45" t="s">
        <v>44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19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19" s="10" customFormat="1" ht="28.5" customHeight="1" x14ac:dyDescent="0.25">
      <c r="A3" s="16"/>
      <c r="C3" s="63" t="s">
        <v>70</v>
      </c>
      <c r="D3" s="63"/>
      <c r="E3" s="63">
        <v>60000</v>
      </c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s="10" customFormat="1" ht="28.5" x14ac:dyDescent="0.25">
      <c r="A4" s="16"/>
      <c r="C4" s="63"/>
      <c r="D4" s="63"/>
      <c r="E4" s="63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s="10" customFormat="1" ht="28.5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s="10" customFormat="1" ht="28.5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s="10" customForma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82"/>
      <c r="M7" s="82"/>
      <c r="N7" s="14"/>
      <c r="O7" s="14"/>
      <c r="P7" s="14"/>
    </row>
    <row r="8" spans="1:19" x14ac:dyDescent="0.25">
      <c r="C8" s="52" t="s">
        <v>32</v>
      </c>
      <c r="D8" s="52"/>
      <c r="F8" s="52" t="s">
        <v>34</v>
      </c>
      <c r="G8" s="52"/>
      <c r="I8" s="52" t="s">
        <v>36</v>
      </c>
      <c r="J8" s="52"/>
      <c r="L8" s="52" t="s">
        <v>41</v>
      </c>
      <c r="M8" s="52"/>
      <c r="O8" s="52" t="s">
        <v>39</v>
      </c>
      <c r="P8" s="52"/>
      <c r="R8" s="47" t="s">
        <v>42</v>
      </c>
      <c r="S8" s="47"/>
    </row>
    <row r="9" spans="1:19" ht="15" customHeight="1" x14ac:dyDescent="0.25">
      <c r="C9" s="47" t="s">
        <v>33</v>
      </c>
      <c r="D9" s="47"/>
      <c r="E9" s="11"/>
      <c r="F9" s="47" t="s">
        <v>35</v>
      </c>
      <c r="G9" s="47"/>
      <c r="I9" s="47" t="s">
        <v>37</v>
      </c>
      <c r="J9" s="47"/>
      <c r="L9" s="47" t="s">
        <v>38</v>
      </c>
      <c r="M9" s="47"/>
      <c r="O9" s="47" t="s">
        <v>40</v>
      </c>
      <c r="P9" s="47"/>
      <c r="R9" s="47" t="s">
        <v>43</v>
      </c>
      <c r="S9" s="47"/>
    </row>
    <row r="10" spans="1:19" ht="30" x14ac:dyDescent="0.25">
      <c r="C10" s="8" t="s">
        <v>3</v>
      </c>
      <c r="D10" s="9">
        <v>90</v>
      </c>
      <c r="F10" s="49" t="s">
        <v>8</v>
      </c>
      <c r="G10" s="49"/>
      <c r="I10" s="8" t="s">
        <v>52</v>
      </c>
      <c r="J10" s="9">
        <v>44</v>
      </c>
      <c r="L10" s="49" t="s">
        <v>8</v>
      </c>
      <c r="M10" s="49"/>
      <c r="O10" s="8" t="s">
        <v>53</v>
      </c>
      <c r="P10" s="9">
        <v>100</v>
      </c>
      <c r="R10" s="50" t="s">
        <v>8</v>
      </c>
      <c r="S10" s="51"/>
    </row>
    <row r="11" spans="1:19" x14ac:dyDescent="0.25">
      <c r="C11" s="2" t="s">
        <v>4</v>
      </c>
      <c r="D11" s="1">
        <v>500</v>
      </c>
      <c r="F11" s="1" t="s">
        <v>11</v>
      </c>
      <c r="G11" s="1">
        <v>20</v>
      </c>
      <c r="H11" s="13"/>
      <c r="I11" s="2" t="s">
        <v>72</v>
      </c>
      <c r="J11" s="1">
        <v>650</v>
      </c>
      <c r="L11" s="1" t="s">
        <v>51</v>
      </c>
      <c r="M11" s="1">
        <v>3</v>
      </c>
      <c r="O11" s="2" t="s">
        <v>73</v>
      </c>
      <c r="P11" s="1">
        <v>650</v>
      </c>
      <c r="R11" s="3" t="s">
        <v>54</v>
      </c>
      <c r="S11" s="3">
        <f>+D19</f>
        <v>0.06</v>
      </c>
    </row>
    <row r="12" spans="1:19" x14ac:dyDescent="0.25">
      <c r="C12" s="5" t="s">
        <v>5</v>
      </c>
      <c r="D12" s="5">
        <f>+'[1]3TPUNTO3'!$C$12</f>
        <v>3755.3895657702901</v>
      </c>
      <c r="F12" s="3" t="s">
        <v>9</v>
      </c>
      <c r="G12" s="3">
        <f>+D14</f>
        <v>7.0954814094271059</v>
      </c>
      <c r="I12" s="5" t="s">
        <v>14</v>
      </c>
      <c r="J12" s="5">
        <f>+'[1]3TPUNTO5'!$C$12</f>
        <v>3787.4083359749138</v>
      </c>
      <c r="L12" s="5" t="s">
        <v>49</v>
      </c>
      <c r="M12" s="5">
        <f>+J14</f>
        <v>7.4525694317985813</v>
      </c>
      <c r="O12" s="21" t="s">
        <v>45</v>
      </c>
      <c r="P12" s="21">
        <f>+'[1]3TPUNTO7'!$C$12</f>
        <v>3748.3206662644266</v>
      </c>
      <c r="R12" s="3" t="s">
        <v>74</v>
      </c>
      <c r="S12" s="3">
        <f>+P14</f>
        <v>7.0409178013196128</v>
      </c>
    </row>
    <row r="13" spans="1:19" x14ac:dyDescent="0.25">
      <c r="C13" s="5" t="s">
        <v>6</v>
      </c>
      <c r="D13" s="5">
        <f>D12*0.239006</f>
        <v>897.56063855649393</v>
      </c>
      <c r="F13" s="5" t="s">
        <v>12</v>
      </c>
      <c r="G13" s="5">
        <f>+'[1]3TPUNTO4'!$C$12</f>
        <v>3137.6412148612649</v>
      </c>
      <c r="I13" s="5" t="s">
        <v>15</v>
      </c>
      <c r="J13" s="5">
        <f>J12*0.239006</f>
        <v>905.21331674802025</v>
      </c>
      <c r="L13" s="5" t="s">
        <v>48</v>
      </c>
      <c r="M13" s="5">
        <f>+'[1]3TPUNTO6'!$C$12</f>
        <v>2927.2642016681652</v>
      </c>
      <c r="O13" s="21" t="s">
        <v>46</v>
      </c>
      <c r="P13" s="21">
        <f>P12*0.239006</f>
        <v>895.87112916119554</v>
      </c>
      <c r="R13" s="5" t="s">
        <v>75</v>
      </c>
      <c r="S13" s="5">
        <f>+'[1]3TPUNTO8'!$C$23</f>
        <v>0.52087332517804286</v>
      </c>
    </row>
    <row r="14" spans="1:19" x14ac:dyDescent="0.25">
      <c r="C14" s="5" t="s">
        <v>10</v>
      </c>
      <c r="D14" s="5">
        <f>+'[1]3TPUNTO3'!$C$13</f>
        <v>7.0954814094271059</v>
      </c>
      <c r="F14" s="5" t="s">
        <v>13</v>
      </c>
      <c r="G14" s="5">
        <f>G13*0.239006</f>
        <v>749.91507619913148</v>
      </c>
      <c r="I14" s="5" t="s">
        <v>10</v>
      </c>
      <c r="J14" s="5">
        <f>+'[1]3TPUNTO5'!$C$13</f>
        <v>7.4525694317985813</v>
      </c>
      <c r="L14" s="5" t="s">
        <v>22</v>
      </c>
      <c r="M14" s="5">
        <f>M13*0.239006</f>
        <v>699.63370778390151</v>
      </c>
      <c r="O14" s="21" t="s">
        <v>47</v>
      </c>
      <c r="P14" s="21">
        <f>+'[1]3TPUNTO7'!$C$13</f>
        <v>7.0409178013196128</v>
      </c>
      <c r="R14" s="5" t="s">
        <v>76</v>
      </c>
      <c r="S14" s="5">
        <f>+'[1]3TPUNTO8'!$C$25</f>
        <v>8.3291464555251835</v>
      </c>
    </row>
    <row r="15" spans="1:19" x14ac:dyDescent="0.25">
      <c r="F15" s="5" t="s">
        <v>27</v>
      </c>
      <c r="G15" s="5">
        <f>+'[1]3TPUNTO4'!$C$7</f>
        <v>350</v>
      </c>
      <c r="L15" s="5" t="s">
        <v>50</v>
      </c>
      <c r="M15" s="5">
        <f>+'[1]3TPUNTO6'!$C$7</f>
        <v>230</v>
      </c>
      <c r="R15" s="5" t="s">
        <v>56</v>
      </c>
      <c r="S15" s="5">
        <f>(S12-S13)/(S14-S13)</f>
        <v>0.83501747022669803</v>
      </c>
    </row>
    <row r="16" spans="1:19" x14ac:dyDescent="0.25">
      <c r="R16" s="3" t="s">
        <v>57</v>
      </c>
      <c r="S16" s="3">
        <f>+D24</f>
        <v>36.160259151116065</v>
      </c>
    </row>
    <row r="17" spans="1:19" ht="25.5" customHeight="1" x14ac:dyDescent="0.25">
      <c r="C17" s="46" t="s">
        <v>55</v>
      </c>
      <c r="D17" s="46"/>
      <c r="F17" s="46" t="s">
        <v>62</v>
      </c>
      <c r="G17" s="46"/>
    </row>
    <row r="18" spans="1:19" x14ac:dyDescent="0.25">
      <c r="C18" s="47" t="s">
        <v>23</v>
      </c>
      <c r="D18" s="47"/>
      <c r="E18" s="7"/>
      <c r="F18" s="47" t="s">
        <v>63</v>
      </c>
      <c r="G18" s="47"/>
    </row>
    <row r="19" spans="1:19" x14ac:dyDescent="0.25">
      <c r="C19" s="2" t="s">
        <v>65</v>
      </c>
      <c r="D19" s="1">
        <v>0.06</v>
      </c>
      <c r="E19" s="6" t="s">
        <v>7</v>
      </c>
      <c r="F19" s="29" t="s">
        <v>64</v>
      </c>
      <c r="G19" s="5">
        <f>+D10</f>
        <v>90</v>
      </c>
      <c r="R19" s="38" t="s">
        <v>58</v>
      </c>
      <c r="S19" s="27">
        <f>+'[1]3TPUNTO8'!$C$19</f>
        <v>151.4939906140371</v>
      </c>
    </row>
    <row r="20" spans="1:19" ht="30" x14ac:dyDescent="0.25">
      <c r="C20" s="5" t="s">
        <v>66</v>
      </c>
      <c r="D20" s="5">
        <v>0</v>
      </c>
      <c r="E20" s="6"/>
      <c r="F20" s="4" t="s">
        <v>68</v>
      </c>
      <c r="G20" s="5">
        <f>0.001*(1/427)*(G19-D19)*10000</f>
        <v>2.1063231850117097</v>
      </c>
      <c r="R20" s="39" t="s">
        <v>59</v>
      </c>
      <c r="S20" s="30">
        <f>+'[1]3TPUNTO8'!$C$21</f>
        <v>2566.667258325981</v>
      </c>
    </row>
    <row r="21" spans="1:19" x14ac:dyDescent="0.25">
      <c r="C21" s="5" t="s">
        <v>7</v>
      </c>
      <c r="D21" s="27">
        <f>+'[1]3TPUNTO1'!$C$19</f>
        <v>151.4939906140371</v>
      </c>
      <c r="F21" s="3" t="s">
        <v>69</v>
      </c>
      <c r="G21" s="3">
        <f>+G20+D22</f>
        <v>38.31429590571026</v>
      </c>
      <c r="P21" t="s">
        <v>164</v>
      </c>
    </row>
    <row r="22" spans="1:19" x14ac:dyDescent="0.25">
      <c r="C22" s="5" t="s">
        <v>2</v>
      </c>
      <c r="D22" s="5">
        <f>D21*0.239006</f>
        <v>36.20797272069855</v>
      </c>
      <c r="R22" s="15" t="s">
        <v>61</v>
      </c>
      <c r="S22" s="15">
        <f>S15*(S20-S19)+S19</f>
        <v>2168.2058627780125</v>
      </c>
    </row>
    <row r="23" spans="1:19" x14ac:dyDescent="0.25">
      <c r="C23" s="5" t="s">
        <v>29</v>
      </c>
      <c r="D23" s="5">
        <f>+'[1]3TPUNTO1'!$C$23</f>
        <v>0.52087332517804286</v>
      </c>
      <c r="R23" s="15" t="s">
        <v>60</v>
      </c>
      <c r="S23" s="15">
        <f>S22*0.239006</f>
        <v>518.21421043912164</v>
      </c>
    </row>
    <row r="24" spans="1:19" x14ac:dyDescent="0.25">
      <c r="C24" s="5" t="s">
        <v>79</v>
      </c>
      <c r="D24" s="27">
        <f>+'[1]3TPUNTO1'!$C$9</f>
        <v>36.160259151116065</v>
      </c>
    </row>
    <row r="25" spans="1:19" x14ac:dyDescent="0.25">
      <c r="C25" s="12"/>
      <c r="D25" s="12"/>
    </row>
    <row r="28" spans="1:19" x14ac:dyDescent="0.25">
      <c r="A28" s="48" t="s">
        <v>67</v>
      </c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</row>
    <row r="29" spans="1:19" ht="15" customHeight="1" x14ac:dyDescent="0.25">
      <c r="A29" s="53" t="str">
        <f>CONCATENATE("Q requerido util  (kg/h) = ",((E3*860)/(D13-G14+J13-M14+P13-S23-G21+D22)))</f>
        <v>Q requerido util  (kg/h) = 70803.6715084897</v>
      </c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5"/>
      <c r="N29" s="62" t="str">
        <f>IF(K37&gt;E3,"Tu caudal utilizado satisface la demanda",IF(K37&lt;E3,"Tu caudal no satisface la demanda",IF(K37=E3,"Tu caudal utilizado satisface la demanda pero es muy justo")))</f>
        <v>Tu caudal utilizado satisface la demanda</v>
      </c>
      <c r="O29" s="62"/>
      <c r="P29" s="62"/>
      <c r="Q29" s="62"/>
      <c r="R29" s="62"/>
    </row>
    <row r="30" spans="1:19" ht="15" customHeight="1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8"/>
      <c r="N30" s="62"/>
      <c r="O30" s="62"/>
      <c r="P30" s="62"/>
      <c r="Q30" s="62"/>
      <c r="R30" s="62"/>
    </row>
    <row r="31" spans="1:19" ht="15" customHeight="1" x14ac:dyDescent="0.25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1"/>
      <c r="N31" s="62"/>
      <c r="O31" s="62"/>
      <c r="P31" s="62"/>
      <c r="Q31" s="62"/>
      <c r="R31" s="62"/>
    </row>
    <row r="32" spans="1:19" x14ac:dyDescent="0.25">
      <c r="N32" s="62"/>
      <c r="O32" s="62"/>
      <c r="P32" s="62"/>
      <c r="Q32" s="62"/>
      <c r="R32" s="62"/>
    </row>
    <row r="33" spans="1:18" x14ac:dyDescent="0.25">
      <c r="N33" s="62"/>
      <c r="O33" s="62"/>
      <c r="P33" s="62"/>
      <c r="Q33" s="62"/>
      <c r="R33" s="62"/>
    </row>
    <row r="34" spans="1:18" ht="15" customHeight="1" x14ac:dyDescent="0.25">
      <c r="A34" s="64" t="s">
        <v>71</v>
      </c>
      <c r="B34" s="65"/>
      <c r="C34" s="66"/>
      <c r="D34" s="73">
        <v>72000</v>
      </c>
      <c r="E34" s="74"/>
      <c r="F34" s="74"/>
      <c r="G34" s="74"/>
      <c r="H34" s="74"/>
      <c r="I34" s="74"/>
      <c r="J34" s="74"/>
      <c r="K34" s="74"/>
      <c r="L34" s="75"/>
      <c r="N34" s="62"/>
      <c r="O34" s="62"/>
      <c r="P34" s="62"/>
      <c r="Q34" s="62"/>
      <c r="R34" s="62"/>
    </row>
    <row r="35" spans="1:18" ht="15" customHeight="1" x14ac:dyDescent="0.25">
      <c r="A35" s="67"/>
      <c r="B35" s="68"/>
      <c r="C35" s="69"/>
      <c r="D35" s="76"/>
      <c r="E35" s="77"/>
      <c r="F35" s="77"/>
      <c r="G35" s="77"/>
      <c r="H35" s="77"/>
      <c r="I35" s="77"/>
      <c r="J35" s="77"/>
      <c r="K35" s="77"/>
      <c r="L35" s="78"/>
      <c r="N35" s="62"/>
      <c r="O35" s="62"/>
      <c r="P35" s="62"/>
      <c r="Q35" s="62"/>
      <c r="R35" s="62"/>
    </row>
    <row r="36" spans="1:18" ht="15" customHeight="1" x14ac:dyDescent="0.25">
      <c r="A36" s="70"/>
      <c r="B36" s="71"/>
      <c r="C36" s="72"/>
      <c r="D36" s="79"/>
      <c r="E36" s="80"/>
      <c r="F36" s="80"/>
      <c r="G36" s="80"/>
      <c r="H36" s="80"/>
      <c r="I36" s="80"/>
      <c r="J36" s="80"/>
      <c r="K36" s="80"/>
      <c r="L36" s="81"/>
      <c r="N36" s="62"/>
      <c r="O36" s="62"/>
      <c r="P36" s="62"/>
      <c r="Q36" s="62"/>
      <c r="R36" s="62"/>
    </row>
    <row r="37" spans="1:18" x14ac:dyDescent="0.25">
      <c r="K37" s="17">
        <f>(D34*(D13-G14)+D34*(J13-M14)+D34*(P13-S23)-D34*(G21-D22))/860</f>
        <v>61013.785132343168</v>
      </c>
      <c r="N37" s="62"/>
      <c r="O37" s="62"/>
      <c r="P37" s="62"/>
      <c r="Q37" s="62"/>
      <c r="R37" s="62"/>
    </row>
    <row r="38" spans="1:18" x14ac:dyDescent="0.25">
      <c r="N38" s="62"/>
      <c r="O38" s="62"/>
      <c r="P38" s="62"/>
      <c r="Q38" s="62"/>
      <c r="R38" s="62"/>
    </row>
    <row r="39" spans="1:18" x14ac:dyDescent="0.25">
      <c r="N39" s="62"/>
      <c r="O39" s="62"/>
      <c r="P39" s="62"/>
      <c r="Q39" s="62"/>
      <c r="R39" s="62"/>
    </row>
    <row r="40" spans="1:18" ht="15" customHeight="1" x14ac:dyDescent="0.25">
      <c r="A40" s="53" t="str">
        <f>CONCATENATE("Finalmente con ese caudal generarias: ",(D34*(D13-G14)+D34*(J13-M14)+D34*(P13-S23)-D34*(G21-D22))/860," Kw")</f>
        <v>Finalmente con ese caudal generarias: 61013.7851323432 Kw</v>
      </c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5"/>
      <c r="N40" s="62"/>
      <c r="O40" s="62"/>
      <c r="P40" s="62"/>
      <c r="Q40" s="62"/>
      <c r="R40" s="62"/>
    </row>
    <row r="41" spans="1:18" ht="15" customHeight="1" x14ac:dyDescent="0.25">
      <c r="A41" s="56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8"/>
      <c r="N41" s="62"/>
      <c r="O41" s="62"/>
      <c r="P41" s="62"/>
      <c r="Q41" s="62"/>
      <c r="R41" s="62"/>
    </row>
    <row r="42" spans="1:18" ht="15" customHeight="1" x14ac:dyDescent="0.25">
      <c r="A42" s="59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1"/>
      <c r="N42" s="62"/>
      <c r="O42" s="62"/>
      <c r="P42" s="62"/>
      <c r="Q42" s="62"/>
      <c r="R42" s="62"/>
    </row>
  </sheetData>
  <mergeCells count="29">
    <mergeCell ref="A40:L42"/>
    <mergeCell ref="N29:R42"/>
    <mergeCell ref="C3:D4"/>
    <mergeCell ref="E3:E4"/>
    <mergeCell ref="A29:L31"/>
    <mergeCell ref="A34:C36"/>
    <mergeCell ref="D34:L36"/>
    <mergeCell ref="C17:D17"/>
    <mergeCell ref="C8:D8"/>
    <mergeCell ref="F8:G8"/>
    <mergeCell ref="I8:J8"/>
    <mergeCell ref="I9:J9"/>
    <mergeCell ref="L7:M7"/>
    <mergeCell ref="A1:S2"/>
    <mergeCell ref="F17:G17"/>
    <mergeCell ref="F18:G18"/>
    <mergeCell ref="A28:S28"/>
    <mergeCell ref="L10:M10"/>
    <mergeCell ref="R9:S9"/>
    <mergeCell ref="R10:S10"/>
    <mergeCell ref="C18:D18"/>
    <mergeCell ref="L8:M8"/>
    <mergeCell ref="L9:M9"/>
    <mergeCell ref="O8:P8"/>
    <mergeCell ref="O9:P9"/>
    <mergeCell ref="R8:S8"/>
    <mergeCell ref="C9:D9"/>
    <mergeCell ref="F9:G9"/>
    <mergeCell ref="F10:G10"/>
  </mergeCells>
  <dataValidations count="5">
    <dataValidation type="whole" allowBlank="1" showInputMessage="1" showErrorMessage="1" errorTitle="ENTALPIA FUERA DE RANGO DE TABLA" error="Tu entalpia no esta dentro de la tabla de las propiedades del agua" sqref="J19">
      <formula1>2600</formula1>
      <formula2>3800</formula2>
    </dataValidation>
    <dataValidation allowBlank="1" showInputMessage="1" showErrorMessage="1" promptTitle="Recordatorio" prompt="Caldera energética Stirling:  Presión de vapor: de 14 a 140 Kg/cm2_x000a__x000a_Caldera Radiante: Presión de vapor: de 10 a 130 Kg/cm2_x000a__x000a_Caldera con lecho fluidizado: Presión de vapor: de 10 a 130 Kg/cm2" sqref="D10"/>
    <dataValidation type="whole" operator="lessThan" allowBlank="1" showInputMessage="1" showErrorMessage="1" error="Presion en salida no puede ser mayor a la de entrada_x000a_" sqref="G11 M11 S11">
      <formula1>D10</formula1>
    </dataValidation>
    <dataValidation allowBlank="1" showInputMessage="1" showErrorMessage="1" promptTitle="Recordatorio" prompt="Caldera colgante:  Producción de vapor: de 40 a 500 t/h_x000a__x000a_Caldera radiante: Producción de vapor: de 40 a 500 t/h_x000a__x000a_Caldera de lecho fluidizado: Producción de vapor: de 35 a 550 t/h_x000a_" sqref="D34:L36"/>
    <dataValidation type="decimal" allowBlank="1" showInputMessage="1" showErrorMessage="1" error="Entalpia fuera de rango de tabla" sqref="S22">
      <formula1>2600</formula1>
      <formula2>3800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10</xdr:col>
                <xdr:colOff>685800</xdr:colOff>
                <xdr:row>5</xdr:row>
                <xdr:rowOff>161925</xdr:rowOff>
              </from>
              <to>
                <xdr:col>13</xdr:col>
                <xdr:colOff>76200</xdr:colOff>
                <xdr:row>6</xdr:row>
                <xdr:rowOff>123825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4</xdr:col>
                <xdr:colOff>676275</xdr:colOff>
                <xdr:row>5</xdr:row>
                <xdr:rowOff>161925</xdr:rowOff>
              </from>
              <to>
                <xdr:col>7</xdr:col>
                <xdr:colOff>66675</xdr:colOff>
                <xdr:row>6</xdr:row>
                <xdr:rowOff>123825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104775</xdr:colOff>
                <xdr:row>2</xdr:row>
                <xdr:rowOff>57150</xdr:rowOff>
              </from>
              <to>
                <xdr:col>1</xdr:col>
                <xdr:colOff>542925</xdr:colOff>
                <xdr:row>4</xdr:row>
                <xdr:rowOff>323850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E99"/>
  <sheetViews>
    <sheetView showGridLines="0" zoomScale="70" zoomScaleNormal="70" workbookViewId="0">
      <selection sqref="A1:U2"/>
    </sheetView>
  </sheetViews>
  <sheetFormatPr baseColWidth="10" defaultRowHeight="15" x14ac:dyDescent="0.25"/>
  <cols>
    <col min="6" max="6" width="14.5703125" customWidth="1"/>
    <col min="11" max="11" width="14.28515625" customWidth="1"/>
    <col min="12" max="12" width="17.7109375" customWidth="1"/>
    <col min="13" max="13" width="13.7109375" customWidth="1"/>
    <col min="15" max="15" width="15.28515625" customWidth="1"/>
    <col min="18" max="19" width="14.85546875" bestFit="1" customWidth="1"/>
  </cols>
  <sheetData>
    <row r="1" spans="1:21" ht="15" customHeight="1" x14ac:dyDescent="0.25">
      <c r="A1" s="45" t="s">
        <v>84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1" s="10" customFormat="1" ht="28.5" customHeight="1" x14ac:dyDescent="0.25">
      <c r="A3" s="16"/>
      <c r="B3" s="16"/>
      <c r="C3" s="63" t="s">
        <v>70</v>
      </c>
      <c r="D3" s="63"/>
      <c r="E3" s="63">
        <v>100000</v>
      </c>
      <c r="F3" s="16"/>
      <c r="G3" s="16"/>
      <c r="H3" s="16"/>
      <c r="I3" s="83" t="s">
        <v>149</v>
      </c>
      <c r="J3" s="83"/>
      <c r="K3" s="63">
        <v>95000</v>
      </c>
      <c r="L3" s="16"/>
      <c r="M3" s="16"/>
      <c r="N3" s="85" t="str">
        <f>IF(E5="BP",CONCATENATE("Q parcial req. (kg/h) VER ABAJO = ",H59),IF(E5="AP",CONCATENATE("Q parcial req.  (kg/h) VER ABAJO = ",S59)))</f>
        <v>Q parcial req.  (kg/h) VER ABAJO = 229780.06525015</v>
      </c>
      <c r="O3" s="85"/>
      <c r="P3" s="85"/>
      <c r="Q3" s="85"/>
      <c r="R3" s="16"/>
      <c r="S3" s="106" t="s">
        <v>152</v>
      </c>
      <c r="T3" s="106"/>
      <c r="U3" s="106"/>
    </row>
    <row r="4" spans="1:21" s="10" customFormat="1" ht="28.5" x14ac:dyDescent="0.25">
      <c r="A4" s="16"/>
      <c r="B4" s="16"/>
      <c r="C4" s="63"/>
      <c r="D4" s="63"/>
      <c r="E4" s="63"/>
      <c r="F4" s="16"/>
      <c r="G4" s="16"/>
      <c r="H4" s="16"/>
      <c r="I4" s="84"/>
      <c r="J4" s="84"/>
      <c r="K4" s="63"/>
      <c r="L4" s="16"/>
      <c r="M4" s="16"/>
      <c r="N4" s="85"/>
      <c r="O4" s="85"/>
      <c r="P4" s="85"/>
      <c r="Q4" s="85"/>
      <c r="R4" s="16"/>
      <c r="S4" s="106"/>
      <c r="T4" s="106"/>
      <c r="U4" s="106"/>
    </row>
    <row r="5" spans="1:21" ht="19.5" customHeight="1" x14ac:dyDescent="0.25">
      <c r="C5" s="63" t="s">
        <v>106</v>
      </c>
      <c r="D5" s="63"/>
      <c r="E5" s="63" t="s">
        <v>167</v>
      </c>
      <c r="I5" s="84"/>
      <c r="J5" s="84"/>
      <c r="N5" s="85"/>
      <c r="O5" s="85"/>
      <c r="P5" s="85"/>
      <c r="Q5" s="85"/>
      <c r="S5" s="106"/>
      <c r="T5" s="106"/>
      <c r="U5" s="106"/>
    </row>
    <row r="6" spans="1:21" ht="26.25" customHeight="1" x14ac:dyDescent="0.25">
      <c r="C6" s="63"/>
      <c r="D6" s="63"/>
      <c r="E6" s="63"/>
      <c r="I6" s="84"/>
      <c r="J6" s="84"/>
      <c r="N6" s="85"/>
      <c r="O6" s="85"/>
      <c r="P6" s="85"/>
      <c r="Q6" s="85"/>
      <c r="S6" s="106"/>
      <c r="T6" s="106"/>
      <c r="U6" s="106"/>
    </row>
    <row r="7" spans="1:21" x14ac:dyDescent="0.25">
      <c r="I7" s="84"/>
      <c r="J7" s="84"/>
    </row>
    <row r="10" spans="1:21" x14ac:dyDescent="0.25">
      <c r="C10" s="52" t="s">
        <v>32</v>
      </c>
      <c r="D10" s="52"/>
      <c r="F10" s="52" t="s">
        <v>34</v>
      </c>
      <c r="G10" s="52"/>
      <c r="I10" s="52" t="s">
        <v>36</v>
      </c>
      <c r="J10" s="52"/>
      <c r="L10" s="86" t="s">
        <v>80</v>
      </c>
      <c r="M10" s="86"/>
      <c r="O10" s="52" t="s">
        <v>41</v>
      </c>
      <c r="P10" s="52"/>
    </row>
    <row r="11" spans="1:21" x14ac:dyDescent="0.25">
      <c r="C11" s="47" t="s">
        <v>33</v>
      </c>
      <c r="D11" s="47"/>
      <c r="E11" s="11"/>
      <c r="F11" s="47" t="s">
        <v>35</v>
      </c>
      <c r="G11" s="47"/>
      <c r="I11" s="47" t="s">
        <v>37</v>
      </c>
      <c r="J11" s="47"/>
      <c r="L11" s="86"/>
      <c r="M11" s="86"/>
      <c r="O11" s="47" t="s">
        <v>38</v>
      </c>
      <c r="P11" s="47"/>
    </row>
    <row r="12" spans="1:21" ht="30" x14ac:dyDescent="0.25">
      <c r="C12" s="8" t="s">
        <v>3</v>
      </c>
      <c r="D12" s="9">
        <v>100</v>
      </c>
      <c r="F12" s="49" t="s">
        <v>8</v>
      </c>
      <c r="G12" s="49"/>
      <c r="I12" s="8" t="s">
        <v>52</v>
      </c>
      <c r="J12" s="9">
        <v>40</v>
      </c>
      <c r="L12" s="47" t="s">
        <v>31</v>
      </c>
      <c r="M12" s="47"/>
      <c r="O12" s="50" t="s">
        <v>8</v>
      </c>
      <c r="P12" s="51"/>
    </row>
    <row r="13" spans="1:21" x14ac:dyDescent="0.25">
      <c r="C13" s="2" t="s">
        <v>4</v>
      </c>
      <c r="D13" s="1">
        <v>550</v>
      </c>
      <c r="F13" s="1" t="s">
        <v>11</v>
      </c>
      <c r="G13" s="1">
        <v>50</v>
      </c>
      <c r="I13" s="2" t="s">
        <v>72</v>
      </c>
      <c r="J13" s="1">
        <v>430</v>
      </c>
      <c r="L13" s="87" t="s">
        <v>81</v>
      </c>
      <c r="M13" s="88"/>
      <c r="O13" s="3" t="s">
        <v>51</v>
      </c>
      <c r="P13" s="3">
        <v>0.05</v>
      </c>
    </row>
    <row r="14" spans="1:21" x14ac:dyDescent="0.25">
      <c r="C14" s="5" t="s">
        <v>5</v>
      </c>
      <c r="D14" s="5">
        <f>+'[1]PUNTO 3'!$C$12</f>
        <v>3501.9399332829548</v>
      </c>
      <c r="F14" s="5" t="s">
        <v>9</v>
      </c>
      <c r="G14" s="5">
        <f>+D16</f>
        <v>6.7583707743887764</v>
      </c>
      <c r="I14" s="5" t="s">
        <v>14</v>
      </c>
      <c r="J14" s="5">
        <f>+'[1]PUNTO 5'!$C$12</f>
        <v>3284.6624895530458</v>
      </c>
      <c r="L14" s="8" t="s">
        <v>52</v>
      </c>
      <c r="M14" s="9">
        <v>15</v>
      </c>
      <c r="O14" s="3" t="s">
        <v>17</v>
      </c>
      <c r="P14" s="3">
        <f>+J16</f>
        <v>6.8733562925608913</v>
      </c>
    </row>
    <row r="15" spans="1:21" x14ac:dyDescent="0.25">
      <c r="C15" s="5" t="s">
        <v>6</v>
      </c>
      <c r="D15" s="5">
        <f>D14*0.239006</f>
        <v>836.98465569422592</v>
      </c>
      <c r="F15" s="5" t="s">
        <v>12</v>
      </c>
      <c r="G15" s="27">
        <f>+[1]PUNTO4!$C$12</f>
        <v>3269.3657781374773</v>
      </c>
      <c r="I15" s="5" t="s">
        <v>15</v>
      </c>
      <c r="J15" s="5">
        <f>J14*0.239006</f>
        <v>785.05404297811526</v>
      </c>
      <c r="L15" s="5" t="s">
        <v>82</v>
      </c>
      <c r="M15" s="5">
        <f>IF(E5="BP",+J16,IF(E5="AP",+D16))</f>
        <v>6.7583707743887764</v>
      </c>
      <c r="O15" s="5" t="s">
        <v>18</v>
      </c>
      <c r="P15" s="5">
        <f>+'[1]PUNTO 6'!$C$23</f>
        <v>0.47625378950510244</v>
      </c>
    </row>
    <row r="16" spans="1:21" x14ac:dyDescent="0.25">
      <c r="C16" s="5" t="s">
        <v>10</v>
      </c>
      <c r="D16" s="5">
        <f>+'[1]PUNTO 3'!$C$13</f>
        <v>6.7583707743887764</v>
      </c>
      <c r="F16" s="5" t="s">
        <v>13</v>
      </c>
      <c r="G16" s="5">
        <f>G15*0.239006</f>
        <v>781.39803716952588</v>
      </c>
      <c r="I16" s="5" t="s">
        <v>16</v>
      </c>
      <c r="J16" s="5">
        <f>+'[1]PUNTO 5'!$C$13</f>
        <v>6.8733562925608913</v>
      </c>
      <c r="L16" s="5" t="s">
        <v>121</v>
      </c>
      <c r="M16" s="5">
        <f>+[1]PUNTOE!$C$12</f>
        <v>3015.9217954697069</v>
      </c>
      <c r="O16" s="5" t="s">
        <v>19</v>
      </c>
      <c r="P16" s="5">
        <f>+'[1]PUNTO 6'!$C$25</f>
        <v>8.393914568950521</v>
      </c>
    </row>
    <row r="17" spans="1:31" x14ac:dyDescent="0.25">
      <c r="F17" s="5" t="s">
        <v>27</v>
      </c>
      <c r="G17" s="5">
        <f>+[1]PUNTO4!$C$7</f>
        <v>430</v>
      </c>
      <c r="L17" s="5" t="s">
        <v>122</v>
      </c>
      <c r="M17" s="5">
        <f>M16*0.239006</f>
        <v>720.82340464803281</v>
      </c>
      <c r="O17" s="5" t="s">
        <v>77</v>
      </c>
      <c r="P17" s="5">
        <f>(P14-P15)/(P16-P15)</f>
        <v>0.80795359655505039</v>
      </c>
    </row>
    <row r="18" spans="1:31" ht="19.5" customHeight="1" x14ac:dyDescent="0.25">
      <c r="E18" s="32"/>
      <c r="F18" s="89"/>
      <c r="G18" s="89"/>
      <c r="H18" s="32"/>
      <c r="L18" s="4" t="s">
        <v>120</v>
      </c>
      <c r="M18" s="5">
        <f>+[1]PUNTOE!$C$7</f>
        <v>290</v>
      </c>
      <c r="O18" s="3" t="s">
        <v>78</v>
      </c>
      <c r="P18" s="28">
        <f>+'[1]PUNTO 6'!$C$9</f>
        <v>32.875489523760166</v>
      </c>
    </row>
    <row r="19" spans="1:31" ht="17.25" customHeight="1" x14ac:dyDescent="0.25">
      <c r="F19" s="12"/>
      <c r="G19" s="32"/>
      <c r="L19" s="110"/>
      <c r="M19" s="110"/>
      <c r="O19" s="32"/>
      <c r="P19" s="33"/>
    </row>
    <row r="20" spans="1:31" ht="42.75" customHeight="1" x14ac:dyDescent="0.25">
      <c r="C20" s="46" t="s">
        <v>55</v>
      </c>
      <c r="D20" s="46"/>
      <c r="F20" s="46" t="s">
        <v>94</v>
      </c>
      <c r="G20" s="46"/>
    </row>
    <row r="21" spans="1:31" x14ac:dyDescent="0.25">
      <c r="C21" s="47" t="s">
        <v>23</v>
      </c>
      <c r="D21" s="47"/>
      <c r="F21" s="47" t="s">
        <v>83</v>
      </c>
      <c r="G21" s="47"/>
      <c r="L21" s="12"/>
    </row>
    <row r="22" spans="1:31" ht="27" customHeight="1" x14ac:dyDescent="0.25">
      <c r="C22" s="2" t="s">
        <v>65</v>
      </c>
      <c r="D22" s="1">
        <v>0.05</v>
      </c>
      <c r="F22" s="2" t="s">
        <v>64</v>
      </c>
      <c r="G22" s="1">
        <v>90</v>
      </c>
      <c r="O22" s="29" t="s">
        <v>20</v>
      </c>
      <c r="P22" s="27">
        <f>+'[1]PUNTO 6'!$C$19</f>
        <v>137.76511898849057</v>
      </c>
    </row>
    <row r="23" spans="1:31" ht="30" x14ac:dyDescent="0.25">
      <c r="C23" s="5" t="s">
        <v>66</v>
      </c>
      <c r="D23" s="5">
        <v>0</v>
      </c>
      <c r="F23" s="4" t="s">
        <v>104</v>
      </c>
      <c r="G23" s="5">
        <f>0.001*(1/427)*(G22-D22)*10000</f>
        <v>2.1065573770491808</v>
      </c>
      <c r="O23" s="29" t="s">
        <v>21</v>
      </c>
      <c r="P23" s="30">
        <f>+'[1]PUNTO 6'!$C$21</f>
        <v>2560.7651042248485</v>
      </c>
    </row>
    <row r="24" spans="1:31" x14ac:dyDescent="0.25">
      <c r="C24" s="5" t="s">
        <v>7</v>
      </c>
      <c r="D24" s="27">
        <f>+'[1]PUNTO 1'!$C$19</f>
        <v>137.76511898849057</v>
      </c>
      <c r="F24" s="3" t="s">
        <v>69</v>
      </c>
      <c r="G24" s="3">
        <f>+G23+D25</f>
        <v>35.033247406012357</v>
      </c>
    </row>
    <row r="25" spans="1:31" x14ac:dyDescent="0.25">
      <c r="C25" s="3" t="s">
        <v>2</v>
      </c>
      <c r="D25" s="3">
        <f>D24*0.239006</f>
        <v>32.926690028963179</v>
      </c>
      <c r="F25" s="3" t="s">
        <v>85</v>
      </c>
      <c r="G25" s="3">
        <f>+G24*4.184</f>
        <v>146.57910714675572</v>
      </c>
      <c r="O25" s="15" t="s">
        <v>48</v>
      </c>
      <c r="P25" s="15">
        <f>P17*(P23-P22)+P22</f>
        <v>2095.43667151304</v>
      </c>
    </row>
    <row r="26" spans="1:31" x14ac:dyDescent="0.25">
      <c r="C26" s="21" t="s">
        <v>29</v>
      </c>
      <c r="D26" s="21">
        <f>+'[1]PUNTO 1'!$C$23</f>
        <v>0.47625378950510244</v>
      </c>
      <c r="F26" s="5" t="s">
        <v>29</v>
      </c>
      <c r="G26" s="5">
        <f>+[1]PUNTO2!$C$13</f>
        <v>0.43402884246382717</v>
      </c>
      <c r="O26" s="15" t="s">
        <v>22</v>
      </c>
      <c r="P26" s="15">
        <f>P25*0.239006</f>
        <v>500.82193711164564</v>
      </c>
    </row>
    <row r="27" spans="1:31" x14ac:dyDescent="0.25">
      <c r="C27" s="5" t="s">
        <v>86</v>
      </c>
      <c r="D27" s="27">
        <f>+P18</f>
        <v>32.875489523760166</v>
      </c>
      <c r="F27" s="5" t="s">
        <v>87</v>
      </c>
      <c r="G27" s="5">
        <f>+[1]PUNTO2!$C$7</f>
        <v>30</v>
      </c>
    </row>
    <row r="28" spans="1:31" x14ac:dyDescent="0.25">
      <c r="C28" s="101" t="s">
        <v>139</v>
      </c>
      <c r="D28" s="101"/>
      <c r="E28" s="102"/>
      <c r="F28" s="102"/>
      <c r="G28" s="102"/>
    </row>
    <row r="29" spans="1:31" x14ac:dyDescent="0.25">
      <c r="C29" s="12"/>
    </row>
    <row r="30" spans="1:31" x14ac:dyDescent="0.25">
      <c r="A30" s="13"/>
      <c r="B30" s="13"/>
      <c r="C30" s="13"/>
      <c r="D30" s="13"/>
      <c r="E30" s="13"/>
      <c r="F30" s="18"/>
      <c r="G30" s="18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</row>
    <row r="31" spans="1:31" ht="26.25" customHeight="1" x14ac:dyDescent="0.25">
      <c r="A31" s="13"/>
      <c r="B31" s="13"/>
      <c r="C31" s="46" t="s">
        <v>88</v>
      </c>
      <c r="D31" s="46"/>
      <c r="E31" s="13"/>
      <c r="F31" s="46" t="s">
        <v>93</v>
      </c>
      <c r="G31" s="46"/>
      <c r="H31" s="13"/>
      <c r="I31" s="46" t="s">
        <v>95</v>
      </c>
      <c r="J31" s="46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</row>
    <row r="32" spans="1:31" ht="31.5" customHeight="1" x14ac:dyDescent="0.25">
      <c r="A32" s="13"/>
      <c r="B32" s="13"/>
      <c r="C32" s="103" t="s">
        <v>89</v>
      </c>
      <c r="D32" s="103"/>
      <c r="E32" s="13"/>
      <c r="F32" s="103" t="s">
        <v>90</v>
      </c>
      <c r="G32" s="103"/>
      <c r="H32" s="13"/>
      <c r="I32" s="103" t="s">
        <v>96</v>
      </c>
      <c r="J32" s="10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1:31" x14ac:dyDescent="0.25">
      <c r="A33" s="13"/>
      <c r="B33" s="13"/>
      <c r="C33" s="26" t="s">
        <v>101</v>
      </c>
      <c r="D33" s="21">
        <f>+M14</f>
        <v>15</v>
      </c>
      <c r="E33" s="13"/>
      <c r="F33" s="19" t="s">
        <v>98</v>
      </c>
      <c r="G33" s="20">
        <v>90</v>
      </c>
      <c r="H33" s="13"/>
      <c r="I33" s="26" t="s">
        <v>97</v>
      </c>
      <c r="J33" s="21">
        <f>+D12</f>
        <v>100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</row>
    <row r="34" spans="1:31" ht="30" x14ac:dyDescent="0.25">
      <c r="A34" s="13"/>
      <c r="B34" s="13"/>
      <c r="C34" s="21" t="s">
        <v>24</v>
      </c>
      <c r="D34" s="21">
        <v>0</v>
      </c>
      <c r="E34" s="13"/>
      <c r="F34" s="26" t="s">
        <v>103</v>
      </c>
      <c r="G34" s="21">
        <f>0.001*(1/427)*(G33-D33)*10000</f>
        <v>1.7564402810304451</v>
      </c>
      <c r="H34" s="13"/>
      <c r="I34" s="36" t="s">
        <v>123</v>
      </c>
      <c r="J34" s="37">
        <f>+'[1]PUNTO n'!$C$12</f>
        <v>811.6648567106821</v>
      </c>
      <c r="K34" s="13" t="s">
        <v>163</v>
      </c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</row>
    <row r="35" spans="1:31" x14ac:dyDescent="0.25">
      <c r="A35" s="13"/>
      <c r="B35" s="13"/>
      <c r="C35" s="21" t="s">
        <v>25</v>
      </c>
      <c r="D35" s="31">
        <f>+'[1]PUNTO nprima'!$C$19</f>
        <v>844.71691478558705</v>
      </c>
      <c r="E35" s="13"/>
      <c r="F35" s="22" t="s">
        <v>102</v>
      </c>
      <c r="G35" s="22">
        <f>+G34+D36</f>
        <v>203.64885121627447</v>
      </c>
      <c r="H35" s="13"/>
      <c r="I35" s="104" t="s">
        <v>114</v>
      </c>
      <c r="J35" s="108">
        <f>J34*0.239006</f>
        <v>193.99277074299329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</row>
    <row r="36" spans="1:31" x14ac:dyDescent="0.25">
      <c r="A36" s="13"/>
      <c r="B36" s="13"/>
      <c r="C36" s="22" t="s">
        <v>26</v>
      </c>
      <c r="D36" s="22">
        <f>D35*0.239006</f>
        <v>201.89241093524402</v>
      </c>
      <c r="E36" s="13"/>
      <c r="F36" s="22" t="s">
        <v>105</v>
      </c>
      <c r="G36" s="22">
        <f>+G35*4.184</f>
        <v>852.06679348889236</v>
      </c>
      <c r="H36" s="13"/>
      <c r="I36" s="104"/>
      <c r="J36" s="108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</row>
    <row r="37" spans="1:31" x14ac:dyDescent="0.25">
      <c r="A37" s="13"/>
      <c r="B37" s="13"/>
      <c r="C37" s="21" t="s">
        <v>91</v>
      </c>
      <c r="D37" s="21">
        <f>+'[1]PUNTO nprima'!$C$23</f>
        <v>2.3146816304389946</v>
      </c>
      <c r="E37" s="13"/>
      <c r="F37" s="36" t="s">
        <v>99</v>
      </c>
      <c r="G37" s="36">
        <f>+[1]PUNTOnprimaprima!$C$13</f>
        <v>2.3192011487551776</v>
      </c>
      <c r="H37" s="13"/>
      <c r="I37" s="6" t="s">
        <v>150</v>
      </c>
      <c r="J37" s="6">
        <v>190</v>
      </c>
      <c r="K37" s="6" t="s">
        <v>151</v>
      </c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13"/>
      <c r="X37" s="13"/>
      <c r="Y37" s="13"/>
      <c r="Z37" s="13"/>
      <c r="AA37" s="13"/>
      <c r="AB37" s="13"/>
      <c r="AC37" s="13"/>
      <c r="AD37" s="13"/>
      <c r="AE37" s="13"/>
    </row>
    <row r="38" spans="1:31" x14ac:dyDescent="0.25">
      <c r="A38" s="13"/>
      <c r="B38" s="13"/>
      <c r="C38" s="21" t="s">
        <v>92</v>
      </c>
      <c r="D38" s="31">
        <f>+'[1]PUNTO nprima'!$C$9</f>
        <v>198.29524288241385</v>
      </c>
      <c r="E38" s="13"/>
      <c r="F38" s="21" t="s">
        <v>100</v>
      </c>
      <c r="G38" s="21">
        <f>+[1]PUNTOnprimaprima!$C$7</f>
        <v>200</v>
      </c>
      <c r="H38" s="13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13"/>
      <c r="X38" s="13"/>
      <c r="Y38" s="13"/>
      <c r="Z38" s="13"/>
      <c r="AA38" s="13"/>
      <c r="AB38" s="13"/>
      <c r="AC38" s="13"/>
      <c r="AD38" s="13"/>
      <c r="AE38" s="13"/>
    </row>
    <row r="39" spans="1:31" x14ac:dyDescent="0.25">
      <c r="A39" s="13"/>
      <c r="B39" s="13"/>
      <c r="C39" s="24"/>
      <c r="D39" s="24"/>
      <c r="E39" s="23"/>
      <c r="F39" s="6"/>
      <c r="G39" s="6"/>
      <c r="H39" s="25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13"/>
      <c r="X39" s="13"/>
      <c r="Y39" s="13"/>
      <c r="Z39" s="13"/>
      <c r="AA39" s="13"/>
      <c r="AB39" s="13"/>
      <c r="AC39" s="13"/>
      <c r="AD39" s="13"/>
      <c r="AE39" s="13"/>
    </row>
    <row r="40" spans="1:31" x14ac:dyDescent="0.25">
      <c r="A40" s="13"/>
      <c r="B40" s="13"/>
      <c r="C40" s="23"/>
      <c r="D40" s="23"/>
      <c r="E40" s="23"/>
      <c r="F40" s="6" t="s">
        <v>0</v>
      </c>
      <c r="G40" s="6">
        <f>+D25</f>
        <v>32.926690028963179</v>
      </c>
      <c r="H40" s="25"/>
      <c r="I40" s="102" t="s">
        <v>145</v>
      </c>
      <c r="J40" s="102"/>
      <c r="K40" s="102"/>
      <c r="L40" s="102"/>
      <c r="M40" s="102"/>
      <c r="N40" s="102"/>
      <c r="O40" s="102"/>
      <c r="P40" s="102"/>
      <c r="Q40" s="102"/>
      <c r="R40" s="6"/>
      <c r="S40" s="6"/>
      <c r="T40" s="6"/>
      <c r="U40" s="6"/>
      <c r="V40" s="6"/>
      <c r="W40" s="13"/>
      <c r="X40" s="13"/>
      <c r="Y40" s="13"/>
      <c r="Z40" s="13"/>
      <c r="AA40" s="13"/>
      <c r="AB40" s="13"/>
      <c r="AC40" s="13"/>
      <c r="AD40" s="13"/>
      <c r="AE40" s="13"/>
    </row>
    <row r="41" spans="1:31" x14ac:dyDescent="0.25">
      <c r="A41" s="13"/>
      <c r="B41" s="13"/>
      <c r="C41" s="23"/>
      <c r="D41" s="23"/>
      <c r="E41" s="23"/>
      <c r="F41" s="6" t="s">
        <v>30</v>
      </c>
      <c r="G41" s="6">
        <f>+J35</f>
        <v>193.99277074299329</v>
      </c>
      <c r="H41" s="25"/>
      <c r="I41" s="102"/>
      <c r="J41" s="102"/>
      <c r="K41" s="102"/>
      <c r="L41" s="102"/>
      <c r="M41" s="102"/>
      <c r="N41" s="102"/>
      <c r="O41" s="102"/>
      <c r="P41" s="102"/>
      <c r="Q41" s="102"/>
      <c r="R41" s="101"/>
      <c r="S41" s="101"/>
      <c r="T41" s="101"/>
      <c r="U41" s="101"/>
      <c r="V41" s="101"/>
      <c r="W41" s="13"/>
      <c r="X41" s="13"/>
      <c r="Y41" s="13"/>
      <c r="Z41" s="13"/>
      <c r="AA41" s="13"/>
      <c r="AB41" s="13"/>
      <c r="AC41" s="13"/>
      <c r="AD41" s="13"/>
      <c r="AE41" s="13"/>
    </row>
    <row r="42" spans="1:31" x14ac:dyDescent="0.25">
      <c r="A42" s="13"/>
      <c r="B42" s="13"/>
      <c r="C42" s="23"/>
      <c r="D42" s="23"/>
      <c r="E42" s="23"/>
      <c r="F42" s="6" t="s">
        <v>1</v>
      </c>
      <c r="G42" s="6">
        <f>+G24</f>
        <v>35.033247406012357</v>
      </c>
      <c r="H42" s="25"/>
      <c r="I42" s="6" t="s">
        <v>115</v>
      </c>
      <c r="J42" s="6">
        <f>G41-G42</f>
        <v>158.95952333698094</v>
      </c>
      <c r="K42" s="6" t="s">
        <v>153</v>
      </c>
      <c r="L42" s="6" t="s">
        <v>124</v>
      </c>
      <c r="M42" s="6">
        <f>+J42/J43</f>
        <v>0.30632112027010627</v>
      </c>
      <c r="N42" s="105" t="s">
        <v>107</v>
      </c>
      <c r="O42" s="6" t="s">
        <v>132</v>
      </c>
      <c r="P42" s="6">
        <f>+M48+J45</f>
        <v>119.8172568547825</v>
      </c>
      <c r="Q42" s="6"/>
      <c r="R42" s="6" t="s">
        <v>132</v>
      </c>
      <c r="S42" s="6">
        <f>J47</f>
        <v>116.16125104619312</v>
      </c>
      <c r="T42" s="107" t="s">
        <v>142</v>
      </c>
      <c r="U42" s="6"/>
      <c r="V42" s="6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 x14ac:dyDescent="0.25">
      <c r="A43" s="13"/>
      <c r="B43" s="13"/>
      <c r="C43" s="13"/>
      <c r="D43" s="13"/>
      <c r="E43" s="13"/>
      <c r="F43" s="6" t="s">
        <v>28</v>
      </c>
      <c r="G43" s="25">
        <f>+M17</f>
        <v>720.82340464803281</v>
      </c>
      <c r="H43" s="25"/>
      <c r="I43" s="6" t="s">
        <v>116</v>
      </c>
      <c r="J43" s="6">
        <f>G43-G44</f>
        <v>518.93099371278879</v>
      </c>
      <c r="K43" s="6"/>
      <c r="L43" s="6" t="s">
        <v>125</v>
      </c>
      <c r="M43" s="6">
        <f>+J44</f>
        <v>55.586618524700043</v>
      </c>
      <c r="N43" s="105"/>
      <c r="O43" s="6" t="s">
        <v>133</v>
      </c>
      <c r="P43" s="6">
        <f>(J48)*(1/L50)</f>
        <v>168.41300666630707</v>
      </c>
      <c r="Q43" s="6"/>
      <c r="R43" s="6" t="s">
        <v>159</v>
      </c>
      <c r="S43" s="6">
        <f>M48*(1/L50)</f>
        <v>42.552032315918204</v>
      </c>
      <c r="T43" s="107"/>
      <c r="U43" s="6"/>
      <c r="V43" s="6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 x14ac:dyDescent="0.25">
      <c r="A44" s="13"/>
      <c r="B44" s="13"/>
      <c r="C44" s="13"/>
      <c r="D44" s="13"/>
      <c r="E44" s="13"/>
      <c r="F44" s="6" t="s">
        <v>109</v>
      </c>
      <c r="G44" s="25">
        <f>+D36</f>
        <v>201.89241093524402</v>
      </c>
      <c r="H44" s="25"/>
      <c r="I44" s="6" t="s">
        <v>117</v>
      </c>
      <c r="J44" s="6">
        <f>+G45-G46</f>
        <v>55.586618524700043</v>
      </c>
      <c r="K44" s="6"/>
      <c r="L44" s="6" t="s">
        <v>128</v>
      </c>
      <c r="M44" s="6">
        <f>+J45</f>
        <v>64.230638330082456</v>
      </c>
      <c r="N44" s="105"/>
      <c r="O44" s="6" t="s">
        <v>134</v>
      </c>
      <c r="P44" s="6">
        <f>-M46*(1/L51)</f>
        <v>-0.41187021033659699</v>
      </c>
      <c r="Q44" s="6"/>
      <c r="R44" s="6" t="s">
        <v>160</v>
      </c>
      <c r="S44" s="6">
        <f>J46*(1/L50)</f>
        <v>217.58211013820193</v>
      </c>
      <c r="T44" s="107"/>
      <c r="U44" s="6"/>
      <c r="V44" s="6"/>
      <c r="W44" s="13"/>
      <c r="X44" s="13"/>
      <c r="Y44" s="13"/>
      <c r="Z44" s="13"/>
      <c r="AA44" s="13"/>
      <c r="AB44" s="13"/>
      <c r="AC44" s="13"/>
      <c r="AD44" s="13"/>
      <c r="AE44" s="13"/>
    </row>
    <row r="45" spans="1:31" x14ac:dyDescent="0.25">
      <c r="A45" s="13"/>
      <c r="B45" s="13"/>
      <c r="C45" s="13"/>
      <c r="D45" s="13"/>
      <c r="E45" s="13"/>
      <c r="F45" s="6" t="s">
        <v>110</v>
      </c>
      <c r="G45" s="25">
        <f>+D15</f>
        <v>836.98465569422592</v>
      </c>
      <c r="H45" s="25"/>
      <c r="I45" s="6" t="s">
        <v>127</v>
      </c>
      <c r="J45" s="6">
        <f>+G47-G43</f>
        <v>64.230638330082456</v>
      </c>
      <c r="K45" s="6"/>
      <c r="L45" s="6" t="s">
        <v>126</v>
      </c>
      <c r="M45" s="6">
        <f>+J46</f>
        <v>284.23210586646962</v>
      </c>
      <c r="N45" s="105"/>
      <c r="O45" s="6" t="s">
        <v>135</v>
      </c>
      <c r="P45" s="6">
        <f>P42+P43+P44+P47</f>
        <v>286.2058056059675</v>
      </c>
      <c r="Q45" s="6"/>
      <c r="R45" s="6" t="s">
        <v>147</v>
      </c>
      <c r="S45" s="6">
        <f>(S48*D75)/860</f>
        <v>174079.50492334474</v>
      </c>
      <c r="T45" s="107"/>
      <c r="U45" s="6"/>
      <c r="V45" s="6"/>
      <c r="W45" s="13"/>
      <c r="X45" s="13"/>
      <c r="Y45" s="13"/>
      <c r="Z45" s="13"/>
      <c r="AA45" s="13"/>
      <c r="AB45" s="13"/>
      <c r="AC45" s="13"/>
      <c r="AD45" s="13"/>
      <c r="AE45" s="13"/>
    </row>
    <row r="46" spans="1:31" x14ac:dyDescent="0.25">
      <c r="A46" s="13"/>
      <c r="B46" s="13"/>
      <c r="C46" s="13"/>
      <c r="D46" s="13"/>
      <c r="E46" s="13"/>
      <c r="F46" s="6" t="s">
        <v>111</v>
      </c>
      <c r="G46" s="25">
        <f>+G16</f>
        <v>781.39803716952588</v>
      </c>
      <c r="H46" s="25"/>
      <c r="I46" s="6" t="s">
        <v>118</v>
      </c>
      <c r="J46" s="6">
        <f>+G47-G48</f>
        <v>284.23210586646962</v>
      </c>
      <c r="K46" s="6"/>
      <c r="L46" s="6" t="s">
        <v>140</v>
      </c>
      <c r="M46" s="6">
        <f>+G49-G44</f>
        <v>1.75644028103045</v>
      </c>
      <c r="N46" s="105"/>
      <c r="O46" s="6" t="s">
        <v>147</v>
      </c>
      <c r="P46" s="6">
        <f>(D75*P45)/(860)</f>
        <v>133118.9793516128</v>
      </c>
      <c r="Q46" s="6"/>
      <c r="R46" s="6" t="s">
        <v>161</v>
      </c>
      <c r="S46" s="6">
        <f>-M46*(1/L51)</f>
        <v>-0.41187021033659699</v>
      </c>
      <c r="T46" s="6"/>
      <c r="U46" s="6"/>
      <c r="V46" s="6"/>
      <c r="W46" s="13"/>
      <c r="X46" s="13"/>
      <c r="Y46" s="13"/>
      <c r="Z46" s="13"/>
      <c r="AA46" s="13"/>
      <c r="AB46" s="13"/>
      <c r="AC46" s="13"/>
      <c r="AD46" s="13"/>
      <c r="AE46" s="13"/>
    </row>
    <row r="47" spans="1:31" ht="15" customHeight="1" x14ac:dyDescent="0.25">
      <c r="A47" s="13"/>
      <c r="B47" s="13"/>
      <c r="C47" s="13"/>
      <c r="D47" s="13"/>
      <c r="E47" s="13"/>
      <c r="F47" s="6" t="s">
        <v>112</v>
      </c>
      <c r="G47" s="25">
        <f>+J15</f>
        <v>785.05404297811526</v>
      </c>
      <c r="H47" s="25"/>
      <c r="I47" s="6" t="s">
        <v>144</v>
      </c>
      <c r="J47" s="6">
        <f>+G45-G43</f>
        <v>116.16125104619312</v>
      </c>
      <c r="K47" s="6"/>
      <c r="L47" s="6" t="s">
        <v>143</v>
      </c>
      <c r="M47" s="6">
        <f>+G42-G40</f>
        <v>2.1065573770491781</v>
      </c>
      <c r="N47" s="6"/>
      <c r="O47" s="6" t="s">
        <v>158</v>
      </c>
      <c r="P47" s="6">
        <f>-M47*(1/L50)</f>
        <v>-1.6125877047854877</v>
      </c>
      <c r="Q47" s="6"/>
      <c r="R47" s="6" t="s">
        <v>162</v>
      </c>
      <c r="S47" s="6">
        <f>-M47*(1/L50)</f>
        <v>-1.6125877047854877</v>
      </c>
      <c r="T47" s="6"/>
      <c r="U47" s="6"/>
      <c r="V47" s="6"/>
      <c r="W47" s="13"/>
      <c r="X47" s="13"/>
      <c r="Y47" s="13"/>
      <c r="Z47" s="13"/>
      <c r="AA47" s="13"/>
      <c r="AB47" s="13"/>
      <c r="AC47" s="13"/>
      <c r="AD47" s="13"/>
      <c r="AE47" s="13"/>
    </row>
    <row r="48" spans="1:31" ht="15" customHeight="1" x14ac:dyDescent="0.25">
      <c r="A48" s="13"/>
      <c r="B48" s="13"/>
      <c r="C48" s="13"/>
      <c r="D48" s="13"/>
      <c r="E48" s="35"/>
      <c r="F48" s="6" t="s">
        <v>113</v>
      </c>
      <c r="G48" s="25">
        <f>+P26</f>
        <v>500.82193711164564</v>
      </c>
      <c r="H48" s="25"/>
      <c r="I48" s="6" t="s">
        <v>165</v>
      </c>
      <c r="J48" s="6">
        <f>+G43-G48</f>
        <v>220.00146753638717</v>
      </c>
      <c r="K48" s="6"/>
      <c r="L48" s="6" t="s">
        <v>117</v>
      </c>
      <c r="M48" s="6">
        <f>+G45-G46</f>
        <v>55.586618524700043</v>
      </c>
      <c r="N48" s="6"/>
      <c r="O48" s="6"/>
      <c r="P48" s="6"/>
      <c r="Q48" s="6"/>
      <c r="R48" s="6" t="s">
        <v>135</v>
      </c>
      <c r="S48" s="6">
        <f>S47+S46+S44+S43+S42</f>
        <v>374.27093558519118</v>
      </c>
      <c r="T48" s="6"/>
      <c r="U48" s="6"/>
      <c r="V48" s="6"/>
      <c r="W48" s="13"/>
      <c r="X48" s="13"/>
      <c r="Y48" s="13"/>
      <c r="Z48" s="13"/>
      <c r="AA48" s="13"/>
      <c r="AB48" s="13"/>
      <c r="AC48" s="13"/>
      <c r="AD48" s="13"/>
      <c r="AE48" s="13"/>
    </row>
    <row r="49" spans="1:31" ht="15.75" customHeight="1" x14ac:dyDescent="0.25">
      <c r="A49" s="13"/>
      <c r="B49" s="13"/>
      <c r="C49" s="13"/>
      <c r="D49" s="13"/>
      <c r="E49" s="35"/>
      <c r="F49" s="6" t="s">
        <v>141</v>
      </c>
      <c r="G49" s="25">
        <f>+G35</f>
        <v>203.64885121627447</v>
      </c>
      <c r="H49" s="34"/>
      <c r="I49" s="6"/>
      <c r="J49" s="6"/>
      <c r="K49" s="6" t="s">
        <v>154</v>
      </c>
      <c r="L49" s="6" t="s">
        <v>155</v>
      </c>
      <c r="M49" s="6">
        <f>+J43/J42</f>
        <v>3.2645479982517207</v>
      </c>
      <c r="N49" s="6"/>
      <c r="O49" s="6"/>
      <c r="P49" s="6"/>
      <c r="Q49" s="6"/>
      <c r="R49" s="6"/>
      <c r="S49" s="6"/>
      <c r="T49" s="6"/>
      <c r="U49" s="6"/>
      <c r="V49" s="6"/>
      <c r="W49" s="13"/>
      <c r="X49" s="13"/>
      <c r="Y49" s="13"/>
      <c r="Z49" s="13"/>
      <c r="AA49" s="13"/>
      <c r="AB49" s="13"/>
      <c r="AC49" s="13"/>
      <c r="AD49" s="13"/>
      <c r="AE49" s="13"/>
    </row>
    <row r="50" spans="1:31" x14ac:dyDescent="0.25">
      <c r="A50" s="13"/>
      <c r="B50" s="13"/>
      <c r="C50" s="13"/>
      <c r="D50" s="13"/>
      <c r="E50" s="35"/>
      <c r="F50" s="6"/>
      <c r="G50" s="35"/>
      <c r="H50" s="13"/>
      <c r="I50" s="6"/>
      <c r="J50" s="6"/>
      <c r="K50" s="6" t="s">
        <v>156</v>
      </c>
      <c r="L50" s="6">
        <f>1+M42</f>
        <v>1.3063211202701064</v>
      </c>
      <c r="M50" s="6"/>
      <c r="N50" s="6"/>
      <c r="O50" s="6"/>
      <c r="P50" s="6"/>
      <c r="Q50" s="6"/>
      <c r="R50" s="6"/>
      <c r="S50" s="6"/>
      <c r="T50" s="6"/>
      <c r="U50" s="6"/>
      <c r="V50" s="6"/>
      <c r="W50" s="13"/>
      <c r="X50" s="13"/>
      <c r="Y50" s="13"/>
      <c r="Z50" s="13"/>
      <c r="AA50" s="13"/>
      <c r="AB50" s="13"/>
      <c r="AC50" s="13"/>
      <c r="AD50" s="13"/>
      <c r="AE50" s="13"/>
    </row>
    <row r="51" spans="1:31" x14ac:dyDescent="0.25">
      <c r="A51" s="13"/>
      <c r="B51" s="13"/>
      <c r="C51" s="13"/>
      <c r="D51" s="6"/>
      <c r="E51" s="6"/>
      <c r="F51" s="6"/>
      <c r="G51" s="6"/>
      <c r="H51" s="6"/>
      <c r="I51" s="6"/>
      <c r="J51" s="6"/>
      <c r="K51" s="6" t="s">
        <v>157</v>
      </c>
      <c r="L51" s="6">
        <f>1+M49</f>
        <v>4.2645479982517207</v>
      </c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3"/>
      <c r="AC51" s="13"/>
      <c r="AD51" s="13"/>
      <c r="AE51" s="13"/>
    </row>
    <row r="52" spans="1:31" x14ac:dyDescent="0.25">
      <c r="A52" s="13"/>
      <c r="B52" s="13"/>
      <c r="C52" s="13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3"/>
      <c r="AC52" s="13"/>
      <c r="AD52" s="13"/>
      <c r="AE52" s="13"/>
    </row>
    <row r="53" spans="1:31" x14ac:dyDescent="0.25">
      <c r="A53" s="13"/>
      <c r="B53" s="13"/>
      <c r="C53" s="13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3"/>
      <c r="AC53" s="13"/>
      <c r="AD53" s="13"/>
      <c r="AE53" s="13"/>
    </row>
    <row r="54" spans="1:31" x14ac:dyDescent="0.25">
      <c r="A54" s="13"/>
      <c r="B54" s="13"/>
      <c r="C54" s="13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3"/>
      <c r="AC54" s="13"/>
      <c r="AD54" s="13"/>
      <c r="AE54" s="13"/>
    </row>
    <row r="55" spans="1:31" x14ac:dyDescent="0.25">
      <c r="A55" s="13"/>
      <c r="B55" s="23"/>
      <c r="C55" s="23"/>
      <c r="D55" s="105" t="s">
        <v>107</v>
      </c>
      <c r="E55" s="6"/>
      <c r="F55" s="107" t="s">
        <v>108</v>
      </c>
      <c r="G55" s="101" t="s">
        <v>119</v>
      </c>
      <c r="H55" s="101">
        <f>H59/(L50)</f>
        <v>230022.36464761183</v>
      </c>
      <c r="I55" s="101"/>
      <c r="J55" s="101"/>
      <c r="K55" s="101"/>
      <c r="L55" s="101"/>
      <c r="M55" s="6"/>
      <c r="N55" s="6"/>
      <c r="O55" s="6"/>
      <c r="P55" s="105" t="s">
        <v>142</v>
      </c>
      <c r="Q55" s="6"/>
      <c r="R55" s="101" t="s">
        <v>119</v>
      </c>
      <c r="S55" s="109">
        <f>S59/(L50)</f>
        <v>175898.6069234178</v>
      </c>
      <c r="T55" s="109"/>
      <c r="U55" s="109"/>
      <c r="V55" s="109"/>
      <c r="W55" s="109"/>
      <c r="X55" s="6"/>
      <c r="Y55" s="6"/>
      <c r="Z55" s="6"/>
      <c r="AA55" s="6"/>
      <c r="AB55" s="13"/>
      <c r="AC55" s="13"/>
      <c r="AD55" s="13"/>
      <c r="AE55" s="13"/>
    </row>
    <row r="56" spans="1:31" x14ac:dyDescent="0.25">
      <c r="A56" s="13"/>
      <c r="B56" s="23"/>
      <c r="C56" s="23"/>
      <c r="D56" s="105"/>
      <c r="E56" s="6"/>
      <c r="F56" s="107"/>
      <c r="G56" s="101"/>
      <c r="H56" s="101"/>
      <c r="I56" s="101"/>
      <c r="J56" s="101"/>
      <c r="K56" s="101"/>
      <c r="L56" s="101"/>
      <c r="M56" s="6" t="s">
        <v>136</v>
      </c>
      <c r="N56" s="6">
        <f>+H55/H59</f>
        <v>0.76550856024836467</v>
      </c>
      <c r="O56" s="6" t="s">
        <v>137</v>
      </c>
      <c r="P56" s="105"/>
      <c r="Q56" s="6"/>
      <c r="R56" s="101"/>
      <c r="S56" s="109"/>
      <c r="T56" s="109"/>
      <c r="U56" s="109"/>
      <c r="V56" s="109"/>
      <c r="W56" s="109"/>
      <c r="X56" s="6" t="s">
        <v>136</v>
      </c>
      <c r="Y56" s="6">
        <f>+S55/S59</f>
        <v>0.76550856024836478</v>
      </c>
      <c r="Z56" s="6" t="s">
        <v>137</v>
      </c>
      <c r="AA56" s="6"/>
      <c r="AB56" s="13"/>
      <c r="AC56" s="13"/>
      <c r="AD56" s="13"/>
      <c r="AE56" s="13"/>
    </row>
    <row r="57" spans="1:31" x14ac:dyDescent="0.25">
      <c r="A57" s="13"/>
      <c r="B57" s="23"/>
      <c r="C57" s="23"/>
      <c r="D57" s="105"/>
      <c r="E57" s="6"/>
      <c r="F57" s="6"/>
      <c r="G57" s="101"/>
      <c r="H57" s="101"/>
      <c r="I57" s="101"/>
      <c r="J57" s="101"/>
      <c r="K57" s="101"/>
      <c r="L57" s="101"/>
      <c r="M57" s="6" t="s">
        <v>138</v>
      </c>
      <c r="N57" s="6">
        <f>+H58/H59</f>
        <v>0.23449143975163533</v>
      </c>
      <c r="O57" s="6" t="s">
        <v>137</v>
      </c>
      <c r="P57" s="105"/>
      <c r="Q57" s="6"/>
      <c r="R57" s="101"/>
      <c r="S57" s="109"/>
      <c r="T57" s="109"/>
      <c r="U57" s="109"/>
      <c r="V57" s="109"/>
      <c r="W57" s="109"/>
      <c r="X57" s="6" t="s">
        <v>138</v>
      </c>
      <c r="Y57" s="6">
        <f>+S58/S59</f>
        <v>0.23449143975163525</v>
      </c>
      <c r="Z57" s="6" t="s">
        <v>137</v>
      </c>
      <c r="AA57" s="6"/>
      <c r="AB57" s="13"/>
      <c r="AC57" s="13"/>
      <c r="AD57" s="13"/>
      <c r="AE57" s="13"/>
    </row>
    <row r="58" spans="1:31" x14ac:dyDescent="0.25">
      <c r="A58" s="13"/>
      <c r="B58" s="23"/>
      <c r="C58" s="23"/>
      <c r="D58" s="105"/>
      <c r="E58" s="6"/>
      <c r="F58" s="6"/>
      <c r="G58" s="41" t="s">
        <v>129</v>
      </c>
      <c r="H58" s="101">
        <f>H59-H55</f>
        <v>70460.708426035388</v>
      </c>
      <c r="I58" s="101"/>
      <c r="J58" s="101"/>
      <c r="K58" s="101"/>
      <c r="L58" s="101"/>
      <c r="M58" s="6"/>
      <c r="N58" s="6"/>
      <c r="O58" s="6"/>
      <c r="P58" s="105"/>
      <c r="Q58" s="6"/>
      <c r="R58" s="41" t="s">
        <v>129</v>
      </c>
      <c r="S58" s="109">
        <f>S59-S55</f>
        <v>53881.45832673242</v>
      </c>
      <c r="T58" s="101"/>
      <c r="U58" s="101"/>
      <c r="V58" s="101"/>
      <c r="W58" s="101"/>
      <c r="X58" s="6"/>
      <c r="Y58" s="6"/>
      <c r="Z58" s="6"/>
      <c r="AA58" s="6"/>
      <c r="AB58" s="13"/>
      <c r="AC58" s="13"/>
      <c r="AD58" s="13"/>
      <c r="AE58" s="13"/>
    </row>
    <row r="59" spans="1:31" x14ac:dyDescent="0.25">
      <c r="A59" s="13"/>
      <c r="B59" s="23"/>
      <c r="C59" s="23"/>
      <c r="D59" s="6"/>
      <c r="E59" s="6"/>
      <c r="F59" s="6"/>
      <c r="G59" s="41" t="s">
        <v>130</v>
      </c>
      <c r="H59" s="101">
        <f>(860*E3)/(P45)</f>
        <v>300483.07307364722</v>
      </c>
      <c r="I59" s="101"/>
      <c r="J59" s="101"/>
      <c r="K59" s="101"/>
      <c r="L59" s="101"/>
      <c r="M59" s="6"/>
      <c r="N59" s="6"/>
      <c r="O59" s="6"/>
      <c r="P59" s="105"/>
      <c r="Q59" s="6"/>
      <c r="R59" s="41" t="s">
        <v>130</v>
      </c>
      <c r="S59" s="101">
        <f>(860*E3)/(S48)</f>
        <v>229780.06525015022</v>
      </c>
      <c r="T59" s="101"/>
      <c r="U59" s="101"/>
      <c r="V59" s="101"/>
      <c r="W59" s="101"/>
      <c r="X59" s="6"/>
      <c r="Y59" s="6"/>
      <c r="Z59" s="6"/>
      <c r="AA59" s="6"/>
      <c r="AB59" s="13"/>
      <c r="AC59" s="13"/>
      <c r="AD59" s="13"/>
      <c r="AE59" s="13"/>
    </row>
    <row r="60" spans="1:31" x14ac:dyDescent="0.25">
      <c r="A60" s="13"/>
      <c r="B60" s="23"/>
      <c r="C60" s="23"/>
      <c r="D60" s="23"/>
      <c r="E60" s="23"/>
      <c r="F60" s="23"/>
      <c r="G60" s="40"/>
      <c r="H60" s="40"/>
      <c r="I60" s="40"/>
      <c r="J60" s="40"/>
      <c r="K60" s="40"/>
      <c r="L60" s="40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</row>
    <row r="61" spans="1:31" x14ac:dyDescent="0.25">
      <c r="A61" s="13"/>
      <c r="B61" s="23"/>
      <c r="C61" s="23"/>
      <c r="D61" s="23"/>
      <c r="E61" s="23"/>
      <c r="F61" s="23"/>
      <c r="G61" s="40"/>
      <c r="H61" s="40"/>
      <c r="I61" s="40"/>
      <c r="J61" s="40"/>
      <c r="K61" s="40"/>
      <c r="L61" s="40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</row>
    <row r="62" spans="1:31" x14ac:dyDescent="0.25">
      <c r="A62" s="90" t="s">
        <v>67</v>
      </c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</row>
    <row r="63" spans="1:31" x14ac:dyDescent="0.25">
      <c r="A63" s="53" t="str">
        <f>IF(E5="BP",CONCATENATE("Qv requerido util extraccion en BP  (kg/h) = ",H59),IF(E5="AP",CONCATENATE("Qv requerido util extraccion en BP  (kg/h) = ",S59)))</f>
        <v>Qv requerido util extraccion en BP  (kg/h) = 229780.06525015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5"/>
      <c r="M63" s="13"/>
      <c r="N63" s="62" t="str">
        <f>IF(E5="BP",IF(G80&gt;E3,"Tu caudal utilizado satisface la demanda",IF(G80&lt;E3,"Tu caudal no satisface la demanda",IF(G80=E3,"Tu caudal utilizado satisface la demanda pero es muy justo"))),IF(E5="AP",IF(G79&gt;E3,"Tu caudal utilizado satisface la demanda",IF(G79&lt;E3,"Tu caudal no satisface la demanda",IF(G79=E3,"Tu caudal utilizado satisface la demanda pero es muy justo")))))</f>
        <v>Tu caudal utilizado satisface la demanda</v>
      </c>
      <c r="O63" s="62"/>
      <c r="P63" s="62"/>
      <c r="Q63" s="62"/>
      <c r="R63" s="62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</row>
    <row r="64" spans="1:31" x14ac:dyDescent="0.25">
      <c r="A64" s="56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8"/>
      <c r="M64" s="13"/>
      <c r="N64" s="62"/>
      <c r="O64" s="62"/>
      <c r="P64" s="62"/>
      <c r="Q64" s="62"/>
      <c r="R64" s="62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</row>
    <row r="65" spans="1:31" x14ac:dyDescent="0.25">
      <c r="A65" s="59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1"/>
      <c r="M65" s="13"/>
      <c r="N65" s="62"/>
      <c r="O65" s="62"/>
      <c r="P65" s="62"/>
      <c r="Q65" s="62"/>
      <c r="R65" s="62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</row>
    <row r="66" spans="1:3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62"/>
      <c r="O66" s="62"/>
      <c r="P66" s="62"/>
      <c r="Q66" s="62"/>
      <c r="R66" s="62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</row>
    <row r="67" spans="1:31" ht="15" customHeight="1" x14ac:dyDescent="0.25">
      <c r="A67" s="53" t="str">
        <f>IF(E5="BP",CONCATENATE("Qe requerido(kg/h) = ",H58),IF(E5="AP",CONCATENATE("Qe requerido(kg/h) = ",S58)))</f>
        <v>Qe requerido(kg/h) = 53881.4583267324</v>
      </c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5"/>
      <c r="M67" s="13"/>
      <c r="N67" s="62"/>
      <c r="O67" s="62"/>
      <c r="P67" s="62"/>
      <c r="Q67" s="62"/>
      <c r="R67" s="62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</row>
    <row r="68" spans="1:31" ht="15" customHeight="1" x14ac:dyDescent="0.25">
      <c r="A68" s="56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8"/>
      <c r="M68" s="13"/>
      <c r="N68" s="62"/>
      <c r="O68" s="62"/>
      <c r="P68" s="62"/>
      <c r="Q68" s="62"/>
      <c r="R68" s="62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</row>
    <row r="69" spans="1:31" ht="15" customHeight="1" x14ac:dyDescent="0.25">
      <c r="A69" s="59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1"/>
      <c r="M69" s="13"/>
      <c r="N69" s="62"/>
      <c r="O69" s="62"/>
      <c r="P69" s="62"/>
      <c r="Q69" s="62"/>
      <c r="R69" s="62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</row>
    <row r="70" spans="1:31" ht="23.25" x14ac:dyDescent="0.25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13"/>
      <c r="N70" s="62"/>
      <c r="O70" s="62"/>
      <c r="P70" s="62"/>
      <c r="Q70" s="62"/>
      <c r="R70" s="62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</row>
    <row r="71" spans="1:31" ht="23.25" customHeight="1" x14ac:dyDescent="0.25">
      <c r="A71" s="100" t="str">
        <f>IF(E5="BP",CONCATENATE("Qc requerido(kg/h) = ",H55),IF(E5="AP",CONCATENATE("Qc requerido(kg/h) = ",S55)))</f>
        <v>Qc requerido(kg/h) = 175898.606923418</v>
      </c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3"/>
      <c r="N71" s="62"/>
      <c r="O71" s="62"/>
      <c r="P71" s="62"/>
      <c r="Q71" s="62"/>
      <c r="R71" s="62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</row>
    <row r="72" spans="1:31" ht="23.25" customHeight="1" x14ac:dyDescent="0.25">
      <c r="A72" s="100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3"/>
      <c r="N72" s="62"/>
      <c r="O72" s="62"/>
      <c r="P72" s="62"/>
      <c r="Q72" s="62"/>
      <c r="R72" s="62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</row>
    <row r="73" spans="1:31" ht="23.25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13"/>
      <c r="N73" s="62"/>
      <c r="O73" s="62"/>
      <c r="P73" s="62"/>
      <c r="Q73" s="62"/>
      <c r="R73" s="62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</row>
    <row r="74" spans="1:3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62"/>
      <c r="O74" s="62"/>
      <c r="P74" s="62"/>
      <c r="Q74" s="62"/>
      <c r="R74" s="62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</row>
    <row r="75" spans="1:31" x14ac:dyDescent="0.25">
      <c r="A75" s="91" t="s">
        <v>166</v>
      </c>
      <c r="B75" s="92"/>
      <c r="C75" s="93"/>
      <c r="D75" s="73">
        <v>400000</v>
      </c>
      <c r="E75" s="74"/>
      <c r="F75" s="74"/>
      <c r="G75" s="74"/>
      <c r="H75" s="74"/>
      <c r="I75" s="74"/>
      <c r="J75" s="74"/>
      <c r="K75" s="74"/>
      <c r="L75" s="75"/>
      <c r="M75" s="13"/>
      <c r="N75" s="62"/>
      <c r="O75" s="62"/>
      <c r="P75" s="62"/>
      <c r="Q75" s="62"/>
      <c r="R75" s="62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</row>
    <row r="76" spans="1:31" x14ac:dyDescent="0.25">
      <c r="A76" s="94"/>
      <c r="B76" s="95"/>
      <c r="C76" s="96"/>
      <c r="D76" s="76"/>
      <c r="E76" s="77"/>
      <c r="F76" s="77"/>
      <c r="G76" s="77"/>
      <c r="H76" s="77"/>
      <c r="I76" s="77"/>
      <c r="J76" s="77"/>
      <c r="K76" s="77"/>
      <c r="L76" s="78"/>
      <c r="M76" s="13"/>
      <c r="N76" s="62"/>
      <c r="O76" s="62"/>
      <c r="P76" s="62"/>
      <c r="Q76" s="62"/>
      <c r="R76" s="62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</row>
    <row r="77" spans="1:31" ht="33.75" customHeight="1" x14ac:dyDescent="0.25">
      <c r="A77" s="97"/>
      <c r="B77" s="98"/>
      <c r="C77" s="99"/>
      <c r="D77" s="79"/>
      <c r="E77" s="80"/>
      <c r="F77" s="80"/>
      <c r="G77" s="80"/>
      <c r="H77" s="80"/>
      <c r="I77" s="80"/>
      <c r="J77" s="80"/>
      <c r="K77" s="80"/>
      <c r="L77" s="81"/>
      <c r="M77" s="13"/>
      <c r="N77" s="62"/>
      <c r="O77" s="62"/>
      <c r="P77" s="62"/>
      <c r="Q77" s="62"/>
      <c r="R77" s="62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</row>
    <row r="78" spans="1:31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3"/>
      <c r="N78" s="62"/>
      <c r="O78" s="62"/>
      <c r="P78" s="62"/>
      <c r="Q78" s="62"/>
      <c r="R78" s="62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</row>
    <row r="79" spans="1:31" x14ac:dyDescent="0.25">
      <c r="A79" s="23"/>
      <c r="B79" s="23"/>
      <c r="C79" s="17" t="s">
        <v>148</v>
      </c>
      <c r="D79" s="17" t="s">
        <v>146</v>
      </c>
      <c r="E79" s="17"/>
      <c r="F79" s="17"/>
      <c r="G79" s="17">
        <f>+S45</f>
        <v>174079.50492334474</v>
      </c>
      <c r="H79" s="23"/>
      <c r="I79" s="23"/>
      <c r="J79" s="23"/>
      <c r="K79" s="23"/>
      <c r="L79" s="23"/>
      <c r="M79" s="13"/>
      <c r="N79" s="62"/>
      <c r="O79" s="62"/>
      <c r="P79" s="62"/>
      <c r="Q79" s="62"/>
      <c r="R79" s="62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</row>
    <row r="80" spans="1:31" x14ac:dyDescent="0.25">
      <c r="A80" s="13"/>
      <c r="B80" s="13"/>
      <c r="C80" s="17" t="s">
        <v>148</v>
      </c>
      <c r="D80" s="17" t="s">
        <v>131</v>
      </c>
      <c r="E80" s="17"/>
      <c r="F80" s="17"/>
      <c r="G80" s="17">
        <f>+P46</f>
        <v>133118.9793516128</v>
      </c>
      <c r="H80" s="23"/>
      <c r="I80" s="13"/>
      <c r="J80" s="13"/>
      <c r="K80" s="13"/>
      <c r="L80" s="13"/>
      <c r="M80" s="13"/>
      <c r="N80" s="62"/>
      <c r="O80" s="62"/>
      <c r="P80" s="62"/>
      <c r="Q80" s="62"/>
      <c r="R80" s="62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</row>
    <row r="81" spans="1:31" x14ac:dyDescent="0.25">
      <c r="A81" s="53" t="str">
        <f>IF(E5="BP",CONCATENATE("Finalmente con ese caudal generarias: ",G80," Kw"),IF(E5="AP",CONCATENATE("Finalmente con ese caudal generarias: ",G79," Kw")))</f>
        <v>Finalmente con ese caudal generarias: 174079.504923345 Kw</v>
      </c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5"/>
      <c r="M81" s="13"/>
      <c r="N81" s="62"/>
      <c r="O81" s="62"/>
      <c r="P81" s="62"/>
      <c r="Q81" s="62"/>
      <c r="R81" s="62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</row>
    <row r="82" spans="1:31" x14ac:dyDescent="0.25">
      <c r="A82" s="56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8"/>
      <c r="M82" s="13"/>
      <c r="N82" s="62"/>
      <c r="O82" s="62"/>
      <c r="P82" s="62"/>
      <c r="Q82" s="62"/>
      <c r="R82" s="62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</row>
    <row r="83" spans="1:31" x14ac:dyDescent="0.25">
      <c r="A83" s="59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1"/>
      <c r="M83" s="13"/>
      <c r="N83" s="62"/>
      <c r="O83" s="62"/>
      <c r="P83" s="62"/>
      <c r="Q83" s="62"/>
      <c r="R83" s="62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</row>
    <row r="84" spans="1:3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</row>
    <row r="85" spans="1:3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</row>
    <row r="86" spans="1:3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</row>
    <row r="87" spans="1:3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</row>
    <row r="88" spans="1:3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</row>
    <row r="89" spans="1:3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</row>
    <row r="90" spans="1:3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</row>
    <row r="91" spans="1:3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</row>
    <row r="92" spans="1:3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</row>
    <row r="93" spans="1:3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</row>
    <row r="96" spans="1:3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</row>
    <row r="97" spans="1:3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</row>
    <row r="98" spans="1:3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</row>
    <row r="99" spans="1:3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</row>
  </sheetData>
  <mergeCells count="61">
    <mergeCell ref="A1:U2"/>
    <mergeCell ref="S3:U6"/>
    <mergeCell ref="I40:Q41"/>
    <mergeCell ref="R41:V41"/>
    <mergeCell ref="P55:P59"/>
    <mergeCell ref="T42:T45"/>
    <mergeCell ref="N42:N46"/>
    <mergeCell ref="J35:J36"/>
    <mergeCell ref="O12:P12"/>
    <mergeCell ref="R55:R57"/>
    <mergeCell ref="S55:W57"/>
    <mergeCell ref="S58:W58"/>
    <mergeCell ref="S59:W59"/>
    <mergeCell ref="L19:M19"/>
    <mergeCell ref="F55:F56"/>
    <mergeCell ref="H55:L57"/>
    <mergeCell ref="G55:G57"/>
    <mergeCell ref="H58:L58"/>
    <mergeCell ref="H59:L59"/>
    <mergeCell ref="C28:D28"/>
    <mergeCell ref="E28:G28"/>
    <mergeCell ref="C31:D31"/>
    <mergeCell ref="C32:D32"/>
    <mergeCell ref="F31:G31"/>
    <mergeCell ref="F32:G32"/>
    <mergeCell ref="I31:J31"/>
    <mergeCell ref="I32:J32"/>
    <mergeCell ref="I35:I36"/>
    <mergeCell ref="D55:D58"/>
    <mergeCell ref="A62:S62"/>
    <mergeCell ref="A63:L65"/>
    <mergeCell ref="N63:R83"/>
    <mergeCell ref="A75:C77"/>
    <mergeCell ref="D75:L77"/>
    <mergeCell ref="A81:L83"/>
    <mergeCell ref="A67:L69"/>
    <mergeCell ref="A71:L72"/>
    <mergeCell ref="C20:D20"/>
    <mergeCell ref="C21:D21"/>
    <mergeCell ref="L10:M11"/>
    <mergeCell ref="L13:M13"/>
    <mergeCell ref="F21:G21"/>
    <mergeCell ref="F20:G20"/>
    <mergeCell ref="F12:G12"/>
    <mergeCell ref="L12:M12"/>
    <mergeCell ref="F18:G18"/>
    <mergeCell ref="C10:D10"/>
    <mergeCell ref="F10:G10"/>
    <mergeCell ref="C11:D11"/>
    <mergeCell ref="F11:G11"/>
    <mergeCell ref="I10:J10"/>
    <mergeCell ref="I11:J11"/>
    <mergeCell ref="O10:P10"/>
    <mergeCell ref="O11:P11"/>
    <mergeCell ref="C5:D6"/>
    <mergeCell ref="E5:E6"/>
    <mergeCell ref="C3:D4"/>
    <mergeCell ref="E3:E4"/>
    <mergeCell ref="K3:K4"/>
    <mergeCell ref="I3:J7"/>
    <mergeCell ref="N3:Q6"/>
  </mergeCells>
  <dataValidations disablePrompts="1" xWindow="477" yWindow="541" count="8">
    <dataValidation type="whole" operator="lessThan" allowBlank="1" showInputMessage="1" showErrorMessage="1" error="Presion en salida no puede ser mayor a la de entrada_x000a_" sqref="G13">
      <formula1>+D12</formula1>
    </dataValidation>
    <dataValidation allowBlank="1" showInputMessage="1" showErrorMessage="1" promptTitle="Recordatorio" prompt="Caldera energética Stirling:  Presión de vapor: de 14 a 140 Kg/cm2_x000a__x000a_Caldera Radiante: Presión de vapor: de 10 a 130 Kg/cm2_x000a__x000a_Caldera con lecho fluidizado: Presión de vapor: de 10 a 130 Kg/cm2" sqref="D12"/>
    <dataValidation type="decimal" allowBlank="1" showInputMessage="1" showErrorMessage="1" error="Entalpia fuera de rango de tabla" sqref="P25">
      <formula1>2600</formula1>
      <formula2>3800</formula2>
    </dataValidation>
    <dataValidation allowBlank="1" showInputMessage="1" showErrorMessage="1" promptTitle="Recordatorio" prompt="Si la extraccion esta en AP, PE tiene que estar entre PE y P4_x000a__x000a_Si la extraccion esta en BP, PE tiene que estar entre P5 y P6" sqref="M14"/>
    <dataValidation allowBlank="1" showInputMessage="1" showErrorMessage="1" promptTitle="Recordatorio" prompt="Caldera colgante:  Producción de vapor: de 40 a 500 t/h_x000a__x000a_Caldera radiante: Producción de vapor: de 40 a 500 t/h_x000a__x000a_Caldera de lecho fluidizado: Producción de vapor: de 35 a 550 t/h_x000a_" sqref="D75:L77"/>
    <dataValidation allowBlank="1" showInputMessage="1" showErrorMessage="1" prompt="&quot;AP&quot; o &quot;BP&quot;_x000a_" sqref="E5:E6"/>
    <dataValidation type="decimal" allowBlank="1" showInputMessage="1" showErrorMessage="1" error="Entalpia fuera de rango de tabla" sqref="D14 G15 J14">
      <formula1>2450</formula1>
      <formula2>3800</formula2>
    </dataValidation>
    <dataValidation type="decimal" allowBlank="1" showInputMessage="1" showErrorMessage="1" sqref="P23 M16">
      <formula1>2500</formula1>
      <formula2>3800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2" r:id="rId3" name="CommandButton9">
          <controlPr defaultSize="0" autoLine="0" r:id="rId4">
            <anchor moveWithCells="1">
              <from>
                <xdr:col>5</xdr:col>
                <xdr:colOff>38100</xdr:colOff>
                <xdr:row>27</xdr:row>
                <xdr:rowOff>76200</xdr:rowOff>
              </from>
              <to>
                <xdr:col>7</xdr:col>
                <xdr:colOff>9525</xdr:colOff>
                <xdr:row>29</xdr:row>
                <xdr:rowOff>47625</xdr:rowOff>
              </to>
            </anchor>
          </controlPr>
        </control>
      </mc:Choice>
      <mc:Fallback>
        <control shapeId="5132" r:id="rId3" name="CommandButton9"/>
      </mc:Fallback>
    </mc:AlternateContent>
    <mc:AlternateContent xmlns:mc="http://schemas.openxmlformats.org/markup-compatibility/2006">
      <mc:Choice Requires="x14">
        <control shapeId="5131" r:id="rId5" name="CommandButton8">
          <controlPr defaultSize="0" autoLine="0" r:id="rId6">
            <anchor moveWithCells="1">
              <from>
                <xdr:col>5</xdr:col>
                <xdr:colOff>19050</xdr:colOff>
                <xdr:row>38</xdr:row>
                <xdr:rowOff>47625</xdr:rowOff>
              </from>
              <to>
                <xdr:col>6</xdr:col>
                <xdr:colOff>742950</xdr:colOff>
                <xdr:row>40</xdr:row>
                <xdr:rowOff>28575</xdr:rowOff>
              </to>
            </anchor>
          </controlPr>
        </control>
      </mc:Choice>
      <mc:Fallback>
        <control shapeId="5131" r:id="rId5" name="CommandButton8"/>
      </mc:Fallback>
    </mc:AlternateContent>
    <mc:AlternateContent xmlns:mc="http://schemas.openxmlformats.org/markup-compatibility/2006">
      <mc:Choice Requires="x14">
        <control shapeId="5130" r:id="rId7" name="CommandButton7">
          <controlPr defaultSize="0" autoLine="0" r:id="rId8">
            <anchor moveWithCells="1">
              <from>
                <xdr:col>11</xdr:col>
                <xdr:colOff>9525</xdr:colOff>
                <xdr:row>18</xdr:row>
                <xdr:rowOff>66675</xdr:rowOff>
              </from>
              <to>
                <xdr:col>12</xdr:col>
                <xdr:colOff>857250</xdr:colOff>
                <xdr:row>19</xdr:row>
                <xdr:rowOff>276225</xdr:rowOff>
              </to>
            </anchor>
          </controlPr>
        </control>
      </mc:Choice>
      <mc:Fallback>
        <control shapeId="5130" r:id="rId7" name="CommandButton7"/>
      </mc:Fallback>
    </mc:AlternateContent>
    <mc:AlternateContent xmlns:mc="http://schemas.openxmlformats.org/markup-compatibility/2006">
      <mc:Choice Requires="x14">
        <control shapeId="5129" r:id="rId9" name="CommandButton6">
          <controlPr defaultSize="0" autoLine="0" r:id="rId10">
            <anchor moveWithCells="1">
              <from>
                <xdr:col>5</xdr:col>
                <xdr:colOff>28575</xdr:colOff>
                <xdr:row>17</xdr:row>
                <xdr:rowOff>38100</xdr:rowOff>
              </from>
              <to>
                <xdr:col>7</xdr:col>
                <xdr:colOff>0</xdr:colOff>
                <xdr:row>18</xdr:row>
                <xdr:rowOff>142875</xdr:rowOff>
              </to>
            </anchor>
          </controlPr>
        </control>
      </mc:Choice>
      <mc:Fallback>
        <control shapeId="5129" r:id="rId9" name="CommandButton6"/>
      </mc:Fallback>
    </mc:AlternateContent>
    <mc:AlternateContent xmlns:mc="http://schemas.openxmlformats.org/markup-compatibility/2006">
      <mc:Choice Requires="x14">
        <control shapeId="5128" r:id="rId11" name="CommandButton5">
          <controlPr defaultSize="0" autoLine="0" autoPict="0" r:id="rId12">
            <anchor moveWithCells="1">
              <from>
                <xdr:col>9</xdr:col>
                <xdr:colOff>742950</xdr:colOff>
                <xdr:row>2</xdr:row>
                <xdr:rowOff>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5128" r:id="rId11" name="CommandButton5"/>
      </mc:Fallback>
    </mc:AlternateContent>
    <mc:AlternateContent xmlns:mc="http://schemas.openxmlformats.org/markup-compatibility/2006">
      <mc:Choice Requires="x14">
        <control shapeId="5127" r:id="rId13" name="CommandButton4">
          <controlPr defaultSize="0" autoLine="0" r:id="rId14">
            <anchor moveWithCells="1">
              <from>
                <xdr:col>9</xdr:col>
                <xdr:colOff>742950</xdr:colOff>
                <xdr:row>4</xdr:row>
                <xdr:rowOff>28575</xdr:rowOff>
              </from>
              <to>
                <xdr:col>11</xdr:col>
                <xdr:colOff>438150</xdr:colOff>
                <xdr:row>7</xdr:row>
                <xdr:rowOff>9525</xdr:rowOff>
              </to>
            </anchor>
          </controlPr>
        </control>
      </mc:Choice>
      <mc:Fallback>
        <control shapeId="5127" r:id="rId13" name="CommandButton4"/>
      </mc:Fallback>
    </mc:AlternateContent>
    <mc:AlternateContent xmlns:mc="http://schemas.openxmlformats.org/markup-compatibility/2006">
      <mc:Choice Requires="x14">
        <control shapeId="5126" r:id="rId15" name="CommandButton3">
          <controlPr defaultSize="0" autoLine="0" r:id="rId16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1</xdr:col>
                <xdr:colOff>485775</xdr:colOff>
                <xdr:row>5</xdr:row>
                <xdr:rowOff>66675</xdr:rowOff>
              </to>
            </anchor>
          </controlPr>
        </control>
      </mc:Choice>
      <mc:Fallback>
        <control shapeId="5126" r:id="rId15" name="CommandButton3"/>
      </mc:Fallback>
    </mc:AlternateContent>
    <mc:AlternateContent xmlns:mc="http://schemas.openxmlformats.org/markup-compatibility/2006">
      <mc:Choice Requires="x14">
        <control shapeId="5125" r:id="rId17" name="CommandButton2">
          <controlPr defaultSize="0" autoLine="0" r:id="rId18">
            <anchor moveWithCells="1">
              <from>
                <xdr:col>19</xdr:col>
                <xdr:colOff>447675</xdr:colOff>
                <xdr:row>2</xdr:row>
                <xdr:rowOff>200025</xdr:rowOff>
              </from>
              <to>
                <xdr:col>21</xdr:col>
                <xdr:colOff>28575</xdr:colOff>
                <xdr:row>5</xdr:row>
                <xdr:rowOff>28575</xdr:rowOff>
              </to>
            </anchor>
          </controlPr>
        </control>
      </mc:Choice>
      <mc:Fallback>
        <control shapeId="5125" r:id="rId17" name="CommandButton2"/>
      </mc:Fallback>
    </mc:AlternateContent>
    <mc:AlternateContent xmlns:mc="http://schemas.openxmlformats.org/markup-compatibility/2006">
      <mc:Choice Requires="x14">
        <control shapeId="5124" r:id="rId19" name="CommandButton1">
          <controlPr defaultSize="0" autoLine="0" r:id="rId20">
            <anchor moveWithCells="1">
              <from>
                <xdr:col>18</xdr:col>
                <xdr:colOff>200025</xdr:colOff>
                <xdr:row>2</xdr:row>
                <xdr:rowOff>219075</xdr:rowOff>
              </from>
              <to>
                <xdr:col>19</xdr:col>
                <xdr:colOff>200025</xdr:colOff>
                <xdr:row>5</xdr:row>
                <xdr:rowOff>28575</xdr:rowOff>
              </to>
            </anchor>
          </controlPr>
        </control>
      </mc:Choice>
      <mc:Fallback>
        <control shapeId="5124" r:id="rId1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PAGINA PRINCIPAL</vt:lpstr>
      <vt:lpstr>CASO 1</vt:lpstr>
      <vt:lpstr>CASO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Ferreyra</dc:creator>
  <cp:lastModifiedBy>juan ferreyra</cp:lastModifiedBy>
  <dcterms:created xsi:type="dcterms:W3CDTF">2021-05-10T01:46:46Z</dcterms:created>
  <dcterms:modified xsi:type="dcterms:W3CDTF">2021-07-01T17:05:30Z</dcterms:modified>
</cp:coreProperties>
</file>